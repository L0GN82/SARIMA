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swdmail-my.sharepoint.com/personal/lfrideley_etswd_com/Documents/Documents/SARIMA Project/"/>
    </mc:Choice>
  </mc:AlternateContent>
  <xr:revisionPtr revIDLastSave="97" documentId="8_{9F342BE3-2F2B-4A33-86FA-5252C47A49C6}" xr6:coauthVersionLast="47" xr6:coauthVersionMax="47" xr10:uidLastSave="{41B02B1C-EB14-491F-A3C1-53E1A66218A5}"/>
  <bookViews>
    <workbookView xWindow="32175" yWindow="1530" windowWidth="21600" windowHeight="11295" activeTab="1" xr2:uid="{85408E0C-C59E-4CA0-92DA-6AA07159AB49}"/>
  </bookViews>
  <sheets>
    <sheet name="Input Data" sheetId="1" r:id="rId1"/>
    <sheet name="Sheet2" sheetId="7" r:id="rId2"/>
    <sheet name="Oil WOR vs Price" sheetId="4" r:id="rId3"/>
    <sheet name="Oil Price vs Disposal" sheetId="3" r:id="rId4"/>
    <sheet name="Shortfall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9" i="7" l="1"/>
  <c r="A327" i="7"/>
  <c r="A319" i="7"/>
  <c r="A307" i="7"/>
  <c r="C308" i="7" s="1"/>
  <c r="A279" i="7"/>
  <c r="A231" i="7"/>
  <c r="A207" i="7"/>
  <c r="D206" i="7" s="1"/>
  <c r="A183" i="7"/>
  <c r="C184" i="7" s="1"/>
  <c r="A159" i="7"/>
  <c r="A147" i="7"/>
  <c r="A135" i="7"/>
  <c r="C136" i="7" s="1"/>
  <c r="A130" i="7"/>
  <c r="A111" i="7"/>
  <c r="D112" i="7" s="1"/>
  <c r="A99" i="7"/>
  <c r="D98" i="7" s="1"/>
  <c r="A94" i="7"/>
  <c r="D95" i="7" s="1"/>
  <c r="A87" i="7"/>
  <c r="A79" i="7"/>
  <c r="D78" i="7" s="1"/>
  <c r="A37" i="7"/>
  <c r="D38" i="7" s="1"/>
  <c r="C319" i="7"/>
  <c r="C327" i="7"/>
  <c r="C307" i="7"/>
  <c r="C279" i="7"/>
  <c r="C255" i="7"/>
  <c r="C231" i="7"/>
  <c r="C219" i="7"/>
  <c r="C218" i="7"/>
  <c r="C207" i="7"/>
  <c r="C195" i="7"/>
  <c r="C187" i="7"/>
  <c r="C183" i="7"/>
  <c r="C159" i="7"/>
  <c r="C147" i="7"/>
  <c r="C135" i="7"/>
  <c r="C130" i="7"/>
  <c r="C111" i="7"/>
  <c r="C99" i="7"/>
  <c r="C94" i="7"/>
  <c r="C87" i="7"/>
  <c r="C79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9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6" i="7"/>
  <c r="D97" i="7"/>
  <c r="D99" i="7"/>
  <c r="D101" i="7"/>
  <c r="D102" i="7"/>
  <c r="D103" i="7"/>
  <c r="D104" i="7"/>
  <c r="D105" i="7"/>
  <c r="D106" i="7"/>
  <c r="D107" i="7"/>
  <c r="D108" i="7"/>
  <c r="D109" i="7"/>
  <c r="D110" i="7"/>
  <c r="D111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7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7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80" i="7"/>
  <c r="C81" i="7"/>
  <c r="C82" i="7"/>
  <c r="C83" i="7"/>
  <c r="C84" i="7"/>
  <c r="C85" i="7"/>
  <c r="C86" i="7"/>
  <c r="C88" i="7"/>
  <c r="C89" i="7"/>
  <c r="C90" i="7"/>
  <c r="C91" i="7"/>
  <c r="C92" i="7"/>
  <c r="C93" i="7"/>
  <c r="C96" i="7"/>
  <c r="C97" i="7"/>
  <c r="C98" i="7"/>
  <c r="C100" i="7"/>
  <c r="C101" i="7"/>
  <c r="C102" i="7"/>
  <c r="C103" i="7"/>
  <c r="C104" i="7"/>
  <c r="C105" i="7"/>
  <c r="C106" i="7"/>
  <c r="C107" i="7"/>
  <c r="C108" i="7"/>
  <c r="C109" i="7"/>
  <c r="C110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1" i="7"/>
  <c r="C132" i="7"/>
  <c r="C133" i="7"/>
  <c r="C134" i="7"/>
  <c r="C137" i="7"/>
  <c r="C138" i="7"/>
  <c r="C139" i="7"/>
  <c r="C140" i="7"/>
  <c r="C141" i="7"/>
  <c r="C142" i="7"/>
  <c r="C143" i="7"/>
  <c r="C144" i="7"/>
  <c r="C145" i="7"/>
  <c r="C146" i="7"/>
  <c r="C148" i="7"/>
  <c r="C149" i="7"/>
  <c r="C150" i="7"/>
  <c r="C151" i="7"/>
  <c r="C152" i="7"/>
  <c r="C153" i="7"/>
  <c r="C154" i="7"/>
  <c r="C155" i="7"/>
  <c r="C156" i="7"/>
  <c r="C157" i="7"/>
  <c r="C158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5" i="7"/>
  <c r="C186" i="7"/>
  <c r="C188" i="7"/>
  <c r="C189" i="7"/>
  <c r="C190" i="7"/>
  <c r="C191" i="7"/>
  <c r="C192" i="7"/>
  <c r="C193" i="7"/>
  <c r="C194" i="7"/>
  <c r="C196" i="7"/>
  <c r="C197" i="7"/>
  <c r="C198" i="7"/>
  <c r="C199" i="7"/>
  <c r="C200" i="7"/>
  <c r="C201" i="7"/>
  <c r="C202" i="7"/>
  <c r="C203" i="7"/>
  <c r="C204" i="7"/>
  <c r="C205" i="7"/>
  <c r="C206" i="7"/>
  <c r="C208" i="7"/>
  <c r="C209" i="7"/>
  <c r="C210" i="7"/>
  <c r="C211" i="7"/>
  <c r="C212" i="7"/>
  <c r="C213" i="7"/>
  <c r="C214" i="7"/>
  <c r="C215" i="7"/>
  <c r="C216" i="7"/>
  <c r="C217" i="7"/>
  <c r="C220" i="7"/>
  <c r="C221" i="7"/>
  <c r="C222" i="7"/>
  <c r="C223" i="7"/>
  <c r="C224" i="7"/>
  <c r="C225" i="7"/>
  <c r="C226" i="7"/>
  <c r="C227" i="7"/>
  <c r="C228" i="7"/>
  <c r="C229" i="7"/>
  <c r="C230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72" i="7"/>
  <c r="C273" i="7"/>
  <c r="C274" i="7"/>
  <c r="C275" i="7"/>
  <c r="C276" i="7"/>
  <c r="C277" i="7"/>
  <c r="C278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9" i="7"/>
  <c r="C310" i="7"/>
  <c r="C311" i="7"/>
  <c r="C312" i="7"/>
  <c r="C313" i="7"/>
  <c r="C314" i="7"/>
  <c r="C315" i="7"/>
  <c r="C316" i="7"/>
  <c r="C317" i="7"/>
  <c r="C318" i="7"/>
  <c r="C320" i="7"/>
  <c r="C321" i="7"/>
  <c r="C322" i="7"/>
  <c r="C323" i="7"/>
  <c r="C324" i="7"/>
  <c r="C325" i="7"/>
  <c r="C326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" i="7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2" i="1"/>
  <c r="P26" i="1"/>
  <c r="Q26" i="1" s="1"/>
  <c r="P27" i="1"/>
  <c r="Q27" i="1"/>
  <c r="P28" i="1"/>
  <c r="Q28" i="1" s="1"/>
  <c r="P29" i="1"/>
  <c r="Q29" i="1" s="1"/>
  <c r="P30" i="1"/>
  <c r="Q30" i="1"/>
  <c r="P31" i="1"/>
  <c r="Q31" i="1" s="1"/>
  <c r="P32" i="1"/>
  <c r="Q32" i="1"/>
  <c r="P33" i="1"/>
  <c r="Q33" i="1" s="1"/>
  <c r="P34" i="1"/>
  <c r="Q34" i="1" s="1"/>
  <c r="P35" i="1"/>
  <c r="Q35" i="1"/>
  <c r="P36" i="1"/>
  <c r="Q36" i="1" s="1"/>
  <c r="P37" i="1"/>
  <c r="Q37" i="1" s="1"/>
  <c r="P38" i="1"/>
  <c r="Q38" i="1"/>
  <c r="P39" i="1"/>
  <c r="Q39" i="1" s="1"/>
  <c r="P40" i="1"/>
  <c r="Q40" i="1" s="1"/>
  <c r="P41" i="1"/>
  <c r="Q41" i="1" s="1"/>
  <c r="P42" i="1"/>
  <c r="Q42" i="1" s="1"/>
  <c r="P43" i="1"/>
  <c r="Q43" i="1"/>
  <c r="P44" i="1"/>
  <c r="Q44" i="1" s="1"/>
  <c r="P45" i="1"/>
  <c r="Q45" i="1" s="1"/>
  <c r="P46" i="1"/>
  <c r="Q46" i="1"/>
  <c r="P47" i="1"/>
  <c r="Q47" i="1" s="1"/>
  <c r="P48" i="1"/>
  <c r="Q48" i="1" s="1"/>
  <c r="P49" i="1"/>
  <c r="Q49" i="1"/>
  <c r="P50" i="1"/>
  <c r="Q50" i="1" s="1"/>
  <c r="P51" i="1"/>
  <c r="Q51" i="1"/>
  <c r="P52" i="1"/>
  <c r="Q52" i="1" s="1"/>
  <c r="P53" i="1"/>
  <c r="Q53" i="1" s="1"/>
  <c r="P54" i="1"/>
  <c r="Q54" i="1"/>
  <c r="P55" i="1"/>
  <c r="Q55" i="1" s="1"/>
  <c r="P56" i="1"/>
  <c r="Q56" i="1"/>
  <c r="P57" i="1"/>
  <c r="Q57" i="1"/>
  <c r="P58" i="1"/>
  <c r="Q58" i="1"/>
  <c r="P59" i="1"/>
  <c r="Q59" i="1"/>
  <c r="P60" i="1"/>
  <c r="Q60" i="1" s="1"/>
  <c r="P61" i="1"/>
  <c r="Q61" i="1" s="1"/>
  <c r="P62" i="1"/>
  <c r="Q62" i="1" s="1"/>
  <c r="P63" i="1"/>
  <c r="Q63" i="1" s="1"/>
  <c r="P64" i="1"/>
  <c r="Q64" i="1"/>
  <c r="P65" i="1"/>
  <c r="Q65" i="1"/>
  <c r="P66" i="1"/>
  <c r="Q66" i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/>
  <c r="P74" i="1"/>
  <c r="Q74" i="1" s="1"/>
  <c r="P75" i="1"/>
  <c r="Q75" i="1"/>
  <c r="P76" i="1"/>
  <c r="Q76" i="1" s="1"/>
  <c r="P77" i="1"/>
  <c r="Q77" i="1" s="1"/>
  <c r="P78" i="1"/>
  <c r="Q78" i="1"/>
  <c r="P79" i="1"/>
  <c r="Q79" i="1" s="1"/>
  <c r="P80" i="1"/>
  <c r="Q80" i="1" s="1"/>
  <c r="P81" i="1"/>
  <c r="Q81" i="1"/>
  <c r="P82" i="1"/>
  <c r="Q82" i="1"/>
  <c r="P83" i="1"/>
  <c r="Q83" i="1"/>
  <c r="P84" i="1"/>
  <c r="Q84" i="1" s="1"/>
  <c r="P85" i="1"/>
  <c r="Q85" i="1" s="1"/>
  <c r="D86" i="1"/>
  <c r="Q86" i="1" s="1"/>
  <c r="H86" i="1"/>
  <c r="J86" i="1"/>
  <c r="K86" i="1"/>
  <c r="M86" i="1"/>
  <c r="P86" i="1"/>
  <c r="D87" i="1"/>
  <c r="H87" i="1"/>
  <c r="J87" i="1"/>
  <c r="K87" i="1"/>
  <c r="M87" i="1"/>
  <c r="P87" i="1"/>
  <c r="D88" i="1"/>
  <c r="Q88" i="1" s="1"/>
  <c r="H88" i="1"/>
  <c r="J88" i="1"/>
  <c r="K88" i="1"/>
  <c r="M88" i="1"/>
  <c r="P88" i="1"/>
  <c r="D89" i="1"/>
  <c r="H89" i="1"/>
  <c r="J89" i="1"/>
  <c r="K89" i="1"/>
  <c r="M89" i="1"/>
  <c r="P89" i="1"/>
  <c r="D90" i="1"/>
  <c r="H90" i="1"/>
  <c r="J90" i="1"/>
  <c r="K90" i="1"/>
  <c r="M90" i="1"/>
  <c r="P90" i="1"/>
  <c r="Q90" i="1" s="1"/>
  <c r="D91" i="1"/>
  <c r="Q91" i="1" s="1"/>
  <c r="H91" i="1"/>
  <c r="J91" i="1"/>
  <c r="K91" i="1"/>
  <c r="M91" i="1"/>
  <c r="P91" i="1"/>
  <c r="D92" i="1"/>
  <c r="Q92" i="1" s="1"/>
  <c r="H92" i="1"/>
  <c r="J92" i="1"/>
  <c r="K92" i="1"/>
  <c r="M92" i="1"/>
  <c r="P92" i="1"/>
  <c r="D93" i="1"/>
  <c r="Q93" i="1" s="1"/>
  <c r="H93" i="1"/>
  <c r="J93" i="1"/>
  <c r="K93" i="1"/>
  <c r="M93" i="1"/>
  <c r="P93" i="1"/>
  <c r="D94" i="1"/>
  <c r="H94" i="1"/>
  <c r="J94" i="1"/>
  <c r="K94" i="1"/>
  <c r="M94" i="1"/>
  <c r="P94" i="1"/>
  <c r="Q94" i="1" s="1"/>
  <c r="D95" i="1"/>
  <c r="H95" i="1"/>
  <c r="J95" i="1"/>
  <c r="K95" i="1"/>
  <c r="M95" i="1"/>
  <c r="P95" i="1"/>
  <c r="Q95" i="1"/>
  <c r="D96" i="1"/>
  <c r="Q96" i="1" s="1"/>
  <c r="H96" i="1"/>
  <c r="J96" i="1"/>
  <c r="K96" i="1"/>
  <c r="M96" i="1"/>
  <c r="P96" i="1"/>
  <c r="D97" i="1"/>
  <c r="H97" i="1"/>
  <c r="J97" i="1"/>
  <c r="K97" i="1"/>
  <c r="M97" i="1"/>
  <c r="P97" i="1"/>
  <c r="Q97" i="1" s="1"/>
  <c r="D98" i="1"/>
  <c r="Q98" i="1" s="1"/>
  <c r="H98" i="1"/>
  <c r="J98" i="1"/>
  <c r="K98" i="1"/>
  <c r="M98" i="1"/>
  <c r="P98" i="1"/>
  <c r="D99" i="1"/>
  <c r="H99" i="1"/>
  <c r="J99" i="1"/>
  <c r="K99" i="1"/>
  <c r="M99" i="1"/>
  <c r="P99" i="1"/>
  <c r="Q99" i="1" s="1"/>
  <c r="D100" i="1"/>
  <c r="H100" i="1"/>
  <c r="J100" i="1"/>
  <c r="K100" i="1"/>
  <c r="M100" i="1"/>
  <c r="P100" i="1"/>
  <c r="D101" i="1"/>
  <c r="H101" i="1"/>
  <c r="J101" i="1"/>
  <c r="K101" i="1"/>
  <c r="M101" i="1"/>
  <c r="P101" i="1"/>
  <c r="D102" i="1"/>
  <c r="H102" i="1"/>
  <c r="J102" i="1"/>
  <c r="K102" i="1"/>
  <c r="M102" i="1"/>
  <c r="P102" i="1"/>
  <c r="Q102" i="1"/>
  <c r="D103" i="1"/>
  <c r="Q103" i="1" s="1"/>
  <c r="H103" i="1"/>
  <c r="J103" i="1"/>
  <c r="K103" i="1"/>
  <c r="M103" i="1"/>
  <c r="P103" i="1"/>
  <c r="D104" i="1"/>
  <c r="H104" i="1"/>
  <c r="J104" i="1"/>
  <c r="K104" i="1"/>
  <c r="M104" i="1"/>
  <c r="P104" i="1"/>
  <c r="Q104" i="1" s="1"/>
  <c r="D105" i="1"/>
  <c r="H105" i="1"/>
  <c r="J105" i="1"/>
  <c r="K105" i="1"/>
  <c r="M105" i="1"/>
  <c r="P105" i="1"/>
  <c r="D106" i="1"/>
  <c r="H106" i="1"/>
  <c r="J106" i="1"/>
  <c r="K106" i="1"/>
  <c r="M106" i="1"/>
  <c r="P106" i="1"/>
  <c r="D107" i="1"/>
  <c r="H107" i="1"/>
  <c r="J107" i="1"/>
  <c r="K107" i="1"/>
  <c r="M107" i="1"/>
  <c r="P107" i="1"/>
  <c r="D108" i="1"/>
  <c r="Q108" i="1" s="1"/>
  <c r="H108" i="1"/>
  <c r="J108" i="1"/>
  <c r="K108" i="1"/>
  <c r="M108" i="1"/>
  <c r="P108" i="1"/>
  <c r="D109" i="1"/>
  <c r="H109" i="1"/>
  <c r="J109" i="1"/>
  <c r="K109" i="1"/>
  <c r="M109" i="1"/>
  <c r="P109" i="1"/>
  <c r="Q109" i="1" s="1"/>
  <c r="D110" i="1"/>
  <c r="H110" i="1"/>
  <c r="J110" i="1"/>
  <c r="K110" i="1"/>
  <c r="M110" i="1"/>
  <c r="P110" i="1"/>
  <c r="Q110" i="1"/>
  <c r="D111" i="1"/>
  <c r="Q111" i="1" s="1"/>
  <c r="H111" i="1"/>
  <c r="J111" i="1"/>
  <c r="K111" i="1"/>
  <c r="M111" i="1"/>
  <c r="P111" i="1"/>
  <c r="D112" i="1"/>
  <c r="H112" i="1"/>
  <c r="J112" i="1"/>
  <c r="K112" i="1"/>
  <c r="M112" i="1"/>
  <c r="P112" i="1"/>
  <c r="D113" i="1"/>
  <c r="H113" i="1"/>
  <c r="J113" i="1"/>
  <c r="K113" i="1"/>
  <c r="M113" i="1"/>
  <c r="P113" i="1"/>
  <c r="D114" i="1"/>
  <c r="H114" i="1"/>
  <c r="J114" i="1"/>
  <c r="K114" i="1"/>
  <c r="M114" i="1"/>
  <c r="P114" i="1"/>
  <c r="D115" i="1"/>
  <c r="H115" i="1"/>
  <c r="J115" i="1"/>
  <c r="K115" i="1"/>
  <c r="M115" i="1"/>
  <c r="P115" i="1"/>
  <c r="Q115" i="1"/>
  <c r="D116" i="1"/>
  <c r="Q116" i="1" s="1"/>
  <c r="H116" i="1"/>
  <c r="J116" i="1"/>
  <c r="K116" i="1"/>
  <c r="M116" i="1"/>
  <c r="P116" i="1"/>
  <c r="D117" i="1"/>
  <c r="H117" i="1"/>
  <c r="J117" i="1"/>
  <c r="K117" i="1"/>
  <c r="M117" i="1"/>
  <c r="P117" i="1"/>
  <c r="Q117" i="1" s="1"/>
  <c r="D118" i="1"/>
  <c r="Q118" i="1" s="1"/>
  <c r="H118" i="1"/>
  <c r="J118" i="1"/>
  <c r="K118" i="1"/>
  <c r="M118" i="1"/>
  <c r="P118" i="1"/>
  <c r="D119" i="1"/>
  <c r="H119" i="1"/>
  <c r="J119" i="1"/>
  <c r="K119" i="1"/>
  <c r="M119" i="1"/>
  <c r="P119" i="1"/>
  <c r="D120" i="1"/>
  <c r="H120" i="1"/>
  <c r="J120" i="1"/>
  <c r="K120" i="1"/>
  <c r="M120" i="1"/>
  <c r="P120" i="1"/>
  <c r="Q120" i="1"/>
  <c r="D121" i="1"/>
  <c r="Q121" i="1" s="1"/>
  <c r="H121" i="1"/>
  <c r="J121" i="1"/>
  <c r="K121" i="1"/>
  <c r="M121" i="1"/>
  <c r="P121" i="1"/>
  <c r="D122" i="1"/>
  <c r="H122" i="1"/>
  <c r="J122" i="1"/>
  <c r="K122" i="1"/>
  <c r="M122" i="1"/>
  <c r="P122" i="1"/>
  <c r="Q122" i="1" s="1"/>
  <c r="D123" i="1"/>
  <c r="Q123" i="1" s="1"/>
  <c r="H123" i="1"/>
  <c r="J123" i="1"/>
  <c r="K123" i="1"/>
  <c r="M123" i="1"/>
  <c r="P123" i="1"/>
  <c r="D124" i="1"/>
  <c r="H124" i="1"/>
  <c r="J124" i="1"/>
  <c r="K124" i="1"/>
  <c r="M124" i="1"/>
  <c r="P124" i="1"/>
  <c r="Q124" i="1" s="1"/>
  <c r="D125" i="1"/>
  <c r="H125" i="1"/>
  <c r="J125" i="1"/>
  <c r="K125" i="1"/>
  <c r="M125" i="1"/>
  <c r="P125" i="1"/>
  <c r="Q125" i="1"/>
  <c r="D126" i="1"/>
  <c r="Q126" i="1" s="1"/>
  <c r="H126" i="1"/>
  <c r="J126" i="1"/>
  <c r="K126" i="1"/>
  <c r="M126" i="1"/>
  <c r="P126" i="1"/>
  <c r="D127" i="1"/>
  <c r="H127" i="1"/>
  <c r="J127" i="1"/>
  <c r="K127" i="1"/>
  <c r="M127" i="1"/>
  <c r="P127" i="1"/>
  <c r="Q127" i="1"/>
  <c r="D128" i="1"/>
  <c r="Q128" i="1" s="1"/>
  <c r="H128" i="1"/>
  <c r="J128" i="1"/>
  <c r="K128" i="1"/>
  <c r="M128" i="1"/>
  <c r="P128" i="1"/>
  <c r="D129" i="1"/>
  <c r="H129" i="1"/>
  <c r="J129" i="1"/>
  <c r="K129" i="1"/>
  <c r="M129" i="1"/>
  <c r="P129" i="1"/>
  <c r="D130" i="1"/>
  <c r="H130" i="1"/>
  <c r="J130" i="1"/>
  <c r="K130" i="1"/>
  <c r="M130" i="1"/>
  <c r="P130" i="1"/>
  <c r="D131" i="1"/>
  <c r="Q131" i="1" s="1"/>
  <c r="H131" i="1"/>
  <c r="J131" i="1"/>
  <c r="K131" i="1"/>
  <c r="M131" i="1"/>
  <c r="P131" i="1"/>
  <c r="D132" i="1"/>
  <c r="Q132" i="1" s="1"/>
  <c r="H132" i="1"/>
  <c r="J132" i="1"/>
  <c r="K132" i="1"/>
  <c r="M132" i="1"/>
  <c r="P132" i="1"/>
  <c r="D133" i="1"/>
  <c r="H133" i="1"/>
  <c r="J133" i="1"/>
  <c r="K133" i="1"/>
  <c r="M133" i="1"/>
  <c r="P133" i="1"/>
  <c r="D134" i="1"/>
  <c r="H134" i="1"/>
  <c r="J134" i="1"/>
  <c r="K134" i="1"/>
  <c r="M134" i="1"/>
  <c r="P134" i="1"/>
  <c r="Q134" i="1"/>
  <c r="D135" i="1"/>
  <c r="H135" i="1"/>
  <c r="J135" i="1"/>
  <c r="K135" i="1"/>
  <c r="M135" i="1"/>
  <c r="P135" i="1"/>
  <c r="D136" i="1"/>
  <c r="Q136" i="1" s="1"/>
  <c r="H136" i="1"/>
  <c r="J136" i="1"/>
  <c r="K136" i="1"/>
  <c r="M136" i="1"/>
  <c r="P136" i="1"/>
  <c r="D137" i="1"/>
  <c r="Q137" i="1" s="1"/>
  <c r="H137" i="1"/>
  <c r="J137" i="1"/>
  <c r="K137" i="1"/>
  <c r="M137" i="1"/>
  <c r="P137" i="1"/>
  <c r="D138" i="1"/>
  <c r="H138" i="1"/>
  <c r="J138" i="1"/>
  <c r="K138" i="1"/>
  <c r="M138" i="1"/>
  <c r="P138" i="1"/>
  <c r="D139" i="1"/>
  <c r="H139" i="1"/>
  <c r="J139" i="1"/>
  <c r="K139" i="1"/>
  <c r="M139" i="1"/>
  <c r="P139" i="1"/>
  <c r="D140" i="1"/>
  <c r="H140" i="1"/>
  <c r="J140" i="1"/>
  <c r="K140" i="1"/>
  <c r="M140" i="1"/>
  <c r="P140" i="1"/>
  <c r="Q140" i="1"/>
  <c r="D141" i="1"/>
  <c r="Q141" i="1" s="1"/>
  <c r="H141" i="1"/>
  <c r="J141" i="1"/>
  <c r="K141" i="1"/>
  <c r="M141" i="1"/>
  <c r="P141" i="1"/>
  <c r="D142" i="1"/>
  <c r="H142" i="1"/>
  <c r="J142" i="1"/>
  <c r="K142" i="1"/>
  <c r="M142" i="1"/>
  <c r="P142" i="1"/>
  <c r="Q142" i="1"/>
  <c r="D143" i="1"/>
  <c r="Q143" i="1" s="1"/>
  <c r="H143" i="1"/>
  <c r="J143" i="1"/>
  <c r="K143" i="1"/>
  <c r="M143" i="1"/>
  <c r="P143" i="1"/>
  <c r="D144" i="1"/>
  <c r="H144" i="1"/>
  <c r="J144" i="1"/>
  <c r="K144" i="1"/>
  <c r="M144" i="1"/>
  <c r="P144" i="1"/>
  <c r="D145" i="1"/>
  <c r="H145" i="1"/>
  <c r="J145" i="1"/>
  <c r="K145" i="1"/>
  <c r="M145" i="1"/>
  <c r="P145" i="1"/>
  <c r="Q145" i="1" s="1"/>
  <c r="D146" i="1"/>
  <c r="Q146" i="1" s="1"/>
  <c r="H146" i="1"/>
  <c r="J146" i="1"/>
  <c r="K146" i="1"/>
  <c r="M146" i="1"/>
  <c r="P146" i="1"/>
  <c r="D147" i="1"/>
  <c r="H147" i="1"/>
  <c r="J147" i="1"/>
  <c r="K147" i="1"/>
  <c r="M147" i="1"/>
  <c r="P147" i="1"/>
  <c r="Q147" i="1"/>
  <c r="D148" i="1"/>
  <c r="Q148" i="1" s="1"/>
  <c r="H148" i="1"/>
  <c r="J148" i="1"/>
  <c r="K148" i="1"/>
  <c r="M148" i="1"/>
  <c r="P148" i="1"/>
  <c r="D149" i="1"/>
  <c r="H149" i="1"/>
  <c r="J149" i="1"/>
  <c r="K149" i="1"/>
  <c r="M149" i="1"/>
  <c r="P149" i="1"/>
  <c r="D150" i="1"/>
  <c r="H150" i="1"/>
  <c r="J150" i="1"/>
  <c r="K150" i="1"/>
  <c r="M150" i="1"/>
  <c r="P150" i="1"/>
  <c r="Q150" i="1"/>
  <c r="D151" i="1"/>
  <c r="Q151" i="1" s="1"/>
  <c r="H151" i="1"/>
  <c r="J151" i="1"/>
  <c r="K151" i="1"/>
  <c r="M151" i="1"/>
  <c r="P151" i="1"/>
  <c r="D152" i="1"/>
  <c r="H152" i="1"/>
  <c r="J152" i="1"/>
  <c r="K152" i="1"/>
  <c r="M152" i="1"/>
  <c r="P152" i="1"/>
  <c r="Q152" i="1"/>
  <c r="D153" i="1"/>
  <c r="Q153" i="1" s="1"/>
  <c r="H153" i="1"/>
  <c r="J153" i="1"/>
  <c r="K153" i="1"/>
  <c r="M153" i="1"/>
  <c r="P153" i="1"/>
  <c r="D154" i="1"/>
  <c r="H154" i="1"/>
  <c r="J154" i="1"/>
  <c r="K154" i="1"/>
  <c r="M154" i="1"/>
  <c r="P154" i="1"/>
  <c r="D155" i="1"/>
  <c r="H155" i="1"/>
  <c r="J155" i="1"/>
  <c r="K155" i="1"/>
  <c r="M155" i="1"/>
  <c r="P155" i="1"/>
  <c r="D156" i="1"/>
  <c r="Q156" i="1" s="1"/>
  <c r="H156" i="1"/>
  <c r="J156" i="1"/>
  <c r="K156" i="1"/>
  <c r="M156" i="1"/>
  <c r="P156" i="1"/>
  <c r="D157" i="1"/>
  <c r="H157" i="1"/>
  <c r="J157" i="1"/>
  <c r="K157" i="1"/>
  <c r="M157" i="1"/>
  <c r="P157" i="1"/>
  <c r="Q157" i="1"/>
  <c r="D158" i="1"/>
  <c r="Q158" i="1" s="1"/>
  <c r="H158" i="1"/>
  <c r="J158" i="1"/>
  <c r="K158" i="1"/>
  <c r="M158" i="1"/>
  <c r="P158" i="1"/>
  <c r="D159" i="1"/>
  <c r="H159" i="1"/>
  <c r="J159" i="1"/>
  <c r="K159" i="1"/>
  <c r="M159" i="1"/>
  <c r="P159" i="1"/>
  <c r="Q159" i="1"/>
  <c r="D160" i="1"/>
  <c r="Q160" i="1" s="1"/>
  <c r="H160" i="1"/>
  <c r="J160" i="1"/>
  <c r="K160" i="1"/>
  <c r="M160" i="1"/>
  <c r="P160" i="1"/>
  <c r="D161" i="1"/>
  <c r="H161" i="1"/>
  <c r="J161" i="1"/>
  <c r="K161" i="1"/>
  <c r="M161" i="1"/>
  <c r="P161" i="1"/>
  <c r="Q161" i="1" s="1"/>
  <c r="D162" i="1"/>
  <c r="H162" i="1"/>
  <c r="J162" i="1"/>
  <c r="K162" i="1"/>
  <c r="M162" i="1"/>
  <c r="P162" i="1"/>
  <c r="D163" i="1"/>
  <c r="Q163" i="1" s="1"/>
  <c r="H163" i="1"/>
  <c r="J163" i="1"/>
  <c r="K163" i="1"/>
  <c r="M163" i="1"/>
  <c r="P163" i="1"/>
  <c r="D164" i="1"/>
  <c r="H164" i="1"/>
  <c r="J164" i="1"/>
  <c r="K164" i="1"/>
  <c r="M164" i="1"/>
  <c r="P164" i="1"/>
  <c r="D165" i="1"/>
  <c r="H165" i="1"/>
  <c r="J165" i="1"/>
  <c r="K165" i="1"/>
  <c r="M165" i="1"/>
  <c r="P165" i="1"/>
  <c r="D166" i="1"/>
  <c r="H166" i="1"/>
  <c r="J166" i="1"/>
  <c r="K166" i="1"/>
  <c r="M166" i="1"/>
  <c r="P166" i="1"/>
  <c r="Q166" i="1"/>
  <c r="D167" i="1"/>
  <c r="H167" i="1"/>
  <c r="J167" i="1"/>
  <c r="K167" i="1"/>
  <c r="M167" i="1"/>
  <c r="P167" i="1"/>
  <c r="D168" i="1"/>
  <c r="Q168" i="1" s="1"/>
  <c r="H168" i="1"/>
  <c r="J168" i="1"/>
  <c r="K168" i="1"/>
  <c r="M168" i="1"/>
  <c r="P168" i="1"/>
  <c r="D169" i="1"/>
  <c r="H169" i="1"/>
  <c r="J169" i="1"/>
  <c r="K169" i="1"/>
  <c r="M169" i="1"/>
  <c r="P169" i="1"/>
  <c r="D170" i="1"/>
  <c r="H170" i="1"/>
  <c r="J170" i="1"/>
  <c r="K170" i="1"/>
  <c r="M170" i="1"/>
  <c r="P170" i="1"/>
  <c r="Q170" i="1" s="1"/>
  <c r="D171" i="1"/>
  <c r="Q171" i="1" s="1"/>
  <c r="H171" i="1"/>
  <c r="J171" i="1"/>
  <c r="K171" i="1"/>
  <c r="M171" i="1"/>
  <c r="P171" i="1"/>
  <c r="D172" i="1"/>
  <c r="H172" i="1"/>
  <c r="J172" i="1"/>
  <c r="K172" i="1"/>
  <c r="M172" i="1"/>
  <c r="P172" i="1"/>
  <c r="Q172" i="1"/>
  <c r="D173" i="1"/>
  <c r="Q173" i="1" s="1"/>
  <c r="H173" i="1"/>
  <c r="J173" i="1"/>
  <c r="K173" i="1"/>
  <c r="M173" i="1"/>
  <c r="P173" i="1"/>
  <c r="D174" i="1"/>
  <c r="H174" i="1"/>
  <c r="J174" i="1"/>
  <c r="K174" i="1"/>
  <c r="M174" i="1"/>
  <c r="P174" i="1"/>
  <c r="Q174" i="1"/>
  <c r="D175" i="1"/>
  <c r="Q175" i="1" s="1"/>
  <c r="H175" i="1"/>
  <c r="J175" i="1"/>
  <c r="K175" i="1"/>
  <c r="M175" i="1"/>
  <c r="P175" i="1"/>
  <c r="D176" i="1"/>
  <c r="Q176" i="1" s="1"/>
  <c r="H176" i="1"/>
  <c r="J176" i="1"/>
  <c r="K176" i="1"/>
  <c r="M176" i="1"/>
  <c r="P176" i="1"/>
  <c r="D177" i="1"/>
  <c r="H177" i="1"/>
  <c r="J177" i="1"/>
  <c r="K177" i="1"/>
  <c r="M177" i="1"/>
  <c r="P177" i="1"/>
  <c r="Q177" i="1" s="1"/>
  <c r="D178" i="1"/>
  <c r="Q178" i="1" s="1"/>
  <c r="H178" i="1"/>
  <c r="J178" i="1"/>
  <c r="K178" i="1"/>
  <c r="M178" i="1"/>
  <c r="P178" i="1"/>
  <c r="D179" i="1"/>
  <c r="H179" i="1"/>
  <c r="J179" i="1"/>
  <c r="K179" i="1"/>
  <c r="M179" i="1"/>
  <c r="P179" i="1"/>
  <c r="Q179" i="1"/>
  <c r="D180" i="1"/>
  <c r="Q180" i="1" s="1"/>
  <c r="H180" i="1"/>
  <c r="J180" i="1"/>
  <c r="K180" i="1"/>
  <c r="M180" i="1"/>
  <c r="P180" i="1"/>
  <c r="D181" i="1"/>
  <c r="H181" i="1"/>
  <c r="J181" i="1"/>
  <c r="K181" i="1"/>
  <c r="M181" i="1"/>
  <c r="P181" i="1"/>
  <c r="D182" i="1"/>
  <c r="H182" i="1"/>
  <c r="J182" i="1"/>
  <c r="K182" i="1"/>
  <c r="M182" i="1"/>
  <c r="P182" i="1"/>
  <c r="Q182" i="1"/>
  <c r="D183" i="1"/>
  <c r="Q183" i="1" s="1"/>
  <c r="H183" i="1"/>
  <c r="J183" i="1"/>
  <c r="K183" i="1"/>
  <c r="M183" i="1"/>
  <c r="P183" i="1"/>
  <c r="D184" i="1"/>
  <c r="H184" i="1"/>
  <c r="J184" i="1"/>
  <c r="K184" i="1"/>
  <c r="M184" i="1"/>
  <c r="P184" i="1"/>
  <c r="Q184" i="1"/>
  <c r="D185" i="1"/>
  <c r="Q185" i="1" s="1"/>
  <c r="H185" i="1"/>
  <c r="J185" i="1"/>
  <c r="K185" i="1"/>
  <c r="M185" i="1"/>
  <c r="P185" i="1"/>
  <c r="D186" i="1"/>
  <c r="H186" i="1"/>
  <c r="J186" i="1"/>
  <c r="K186" i="1"/>
  <c r="M186" i="1"/>
  <c r="P186" i="1"/>
  <c r="Q186" i="1" s="1"/>
  <c r="D187" i="1"/>
  <c r="H187" i="1"/>
  <c r="J187" i="1"/>
  <c r="K187" i="1"/>
  <c r="M187" i="1"/>
  <c r="P187" i="1"/>
  <c r="D188" i="1"/>
  <c r="Q188" i="1" s="1"/>
  <c r="H188" i="1"/>
  <c r="J188" i="1"/>
  <c r="K188" i="1"/>
  <c r="M188" i="1"/>
  <c r="P188" i="1"/>
  <c r="D189" i="1"/>
  <c r="H189" i="1"/>
  <c r="J189" i="1"/>
  <c r="K189" i="1"/>
  <c r="M189" i="1"/>
  <c r="P189" i="1"/>
  <c r="Q189" i="1"/>
  <c r="D190" i="1"/>
  <c r="Q190" i="1" s="1"/>
  <c r="H190" i="1"/>
  <c r="J190" i="1"/>
  <c r="K190" i="1"/>
  <c r="M190" i="1"/>
  <c r="P190" i="1"/>
  <c r="D191" i="1"/>
  <c r="H191" i="1"/>
  <c r="J191" i="1"/>
  <c r="K191" i="1"/>
  <c r="M191" i="1"/>
  <c r="P191" i="1"/>
  <c r="Q191" i="1"/>
  <c r="D192" i="1"/>
  <c r="H192" i="1"/>
  <c r="J192" i="1"/>
  <c r="K192" i="1"/>
  <c r="M192" i="1"/>
  <c r="P192" i="1"/>
  <c r="D193" i="1"/>
  <c r="H193" i="1"/>
  <c r="J193" i="1"/>
  <c r="K193" i="1"/>
  <c r="M193" i="1"/>
  <c r="P193" i="1"/>
  <c r="D194" i="1"/>
  <c r="H194" i="1"/>
  <c r="J194" i="1"/>
  <c r="K194" i="1"/>
  <c r="M194" i="1"/>
  <c r="P194" i="1"/>
  <c r="D195" i="1"/>
  <c r="Q195" i="1" s="1"/>
  <c r="H195" i="1"/>
  <c r="J195" i="1"/>
  <c r="K195" i="1"/>
  <c r="M195" i="1"/>
  <c r="P195" i="1"/>
  <c r="D196" i="1"/>
  <c r="Q196" i="1" s="1"/>
  <c r="H196" i="1"/>
  <c r="J196" i="1"/>
  <c r="K196" i="1"/>
  <c r="M196" i="1"/>
  <c r="P196" i="1"/>
  <c r="D197" i="1"/>
  <c r="H197" i="1"/>
  <c r="J197" i="1"/>
  <c r="K197" i="1"/>
  <c r="M197" i="1"/>
  <c r="P197" i="1"/>
  <c r="D198" i="1"/>
  <c r="Q198" i="1" s="1"/>
  <c r="H198" i="1"/>
  <c r="J198" i="1"/>
  <c r="K198" i="1"/>
  <c r="M198" i="1"/>
  <c r="P198" i="1"/>
  <c r="D199" i="1"/>
  <c r="H199" i="1"/>
  <c r="J199" i="1"/>
  <c r="K199" i="1"/>
  <c r="M199" i="1"/>
  <c r="P199" i="1"/>
  <c r="D200" i="1"/>
  <c r="Q200" i="1" s="1"/>
  <c r="H200" i="1"/>
  <c r="J200" i="1"/>
  <c r="K200" i="1"/>
  <c r="M200" i="1"/>
  <c r="P200" i="1"/>
  <c r="D201" i="1"/>
  <c r="Q201" i="1" s="1"/>
  <c r="H201" i="1"/>
  <c r="J201" i="1"/>
  <c r="K201" i="1"/>
  <c r="M201" i="1"/>
  <c r="P201" i="1"/>
  <c r="D202" i="1"/>
  <c r="H202" i="1"/>
  <c r="J202" i="1"/>
  <c r="K202" i="1"/>
  <c r="M202" i="1"/>
  <c r="P202" i="1"/>
  <c r="Q202" i="1" s="1"/>
  <c r="D203" i="1"/>
  <c r="Q203" i="1" s="1"/>
  <c r="H203" i="1"/>
  <c r="J203" i="1"/>
  <c r="K203" i="1"/>
  <c r="M203" i="1"/>
  <c r="P203" i="1"/>
  <c r="D204" i="1"/>
  <c r="H204" i="1"/>
  <c r="J204" i="1"/>
  <c r="K204" i="1"/>
  <c r="M204" i="1"/>
  <c r="P204" i="1"/>
  <c r="Q204" i="1"/>
  <c r="D205" i="1"/>
  <c r="Q205" i="1" s="1"/>
  <c r="H205" i="1"/>
  <c r="J205" i="1"/>
  <c r="K205" i="1"/>
  <c r="M205" i="1"/>
  <c r="P205" i="1"/>
  <c r="D206" i="1"/>
  <c r="H206" i="1"/>
  <c r="J206" i="1"/>
  <c r="K206" i="1"/>
  <c r="M206" i="1"/>
  <c r="P206" i="1"/>
  <c r="Q206" i="1"/>
  <c r="D207" i="1"/>
  <c r="H207" i="1"/>
  <c r="J207" i="1"/>
  <c r="K207" i="1"/>
  <c r="M207" i="1"/>
  <c r="P207" i="1"/>
  <c r="Q207" i="1"/>
  <c r="D208" i="1"/>
  <c r="Q208" i="1" s="1"/>
  <c r="H208" i="1"/>
  <c r="J208" i="1"/>
  <c r="K208" i="1"/>
  <c r="M208" i="1"/>
  <c r="P208" i="1"/>
  <c r="D209" i="1"/>
  <c r="H209" i="1"/>
  <c r="J209" i="1"/>
  <c r="K209" i="1"/>
  <c r="M209" i="1"/>
  <c r="P209" i="1"/>
  <c r="D210" i="1"/>
  <c r="Q210" i="1" s="1"/>
  <c r="H210" i="1"/>
  <c r="J210" i="1"/>
  <c r="K210" i="1"/>
  <c r="M210" i="1"/>
  <c r="P210" i="1"/>
  <c r="D211" i="1"/>
  <c r="H211" i="1"/>
  <c r="J211" i="1"/>
  <c r="K211" i="1"/>
  <c r="M211" i="1"/>
  <c r="P211" i="1"/>
  <c r="Q211" i="1"/>
  <c r="D212" i="1"/>
  <c r="H212" i="1"/>
  <c r="J212" i="1"/>
  <c r="K212" i="1"/>
  <c r="M212" i="1"/>
  <c r="P212" i="1"/>
  <c r="D213" i="1"/>
  <c r="Q213" i="1" s="1"/>
  <c r="H213" i="1"/>
  <c r="J213" i="1"/>
  <c r="K213" i="1"/>
  <c r="M213" i="1"/>
  <c r="P213" i="1"/>
  <c r="D214" i="1"/>
  <c r="H214" i="1"/>
  <c r="J214" i="1"/>
  <c r="K214" i="1"/>
  <c r="M214" i="1"/>
  <c r="P214" i="1"/>
  <c r="Q214" i="1" s="1"/>
  <c r="D215" i="1"/>
  <c r="Q215" i="1" s="1"/>
  <c r="H215" i="1"/>
  <c r="J215" i="1"/>
  <c r="K215" i="1"/>
  <c r="M215" i="1"/>
  <c r="P215" i="1"/>
  <c r="D216" i="1"/>
  <c r="H216" i="1"/>
  <c r="J216" i="1"/>
  <c r="K216" i="1"/>
  <c r="M216" i="1"/>
  <c r="P216" i="1"/>
  <c r="Q216" i="1"/>
  <c r="D217" i="1"/>
  <c r="H217" i="1"/>
  <c r="J217" i="1"/>
  <c r="K217" i="1"/>
  <c r="M217" i="1"/>
  <c r="P217" i="1"/>
  <c r="D218" i="1"/>
  <c r="H218" i="1"/>
  <c r="J218" i="1"/>
  <c r="K218" i="1"/>
  <c r="M218" i="1"/>
  <c r="P218" i="1"/>
  <c r="D219" i="1"/>
  <c r="H219" i="1"/>
  <c r="J219" i="1"/>
  <c r="K219" i="1"/>
  <c r="M219" i="1"/>
  <c r="P219" i="1"/>
  <c r="D220" i="1"/>
  <c r="Q220" i="1" s="1"/>
  <c r="H220" i="1"/>
  <c r="J220" i="1"/>
  <c r="K220" i="1"/>
  <c r="M220" i="1"/>
  <c r="P220" i="1"/>
  <c r="D221" i="1"/>
  <c r="H221" i="1"/>
  <c r="J221" i="1"/>
  <c r="K221" i="1"/>
  <c r="M221" i="1"/>
  <c r="P221" i="1"/>
  <c r="Q221" i="1"/>
  <c r="D222" i="1"/>
  <c r="H222" i="1"/>
  <c r="J222" i="1"/>
  <c r="K222" i="1"/>
  <c r="M222" i="1"/>
  <c r="P222" i="1"/>
  <c r="Q222" i="1"/>
  <c r="D223" i="1"/>
  <c r="H223" i="1"/>
  <c r="J223" i="1"/>
  <c r="K223" i="1"/>
  <c r="M223" i="1"/>
  <c r="P223" i="1"/>
  <c r="Q223" i="1"/>
  <c r="D224" i="1"/>
  <c r="H224" i="1"/>
  <c r="J224" i="1"/>
  <c r="K224" i="1"/>
  <c r="M224" i="1"/>
  <c r="P224" i="1"/>
  <c r="D225" i="1"/>
  <c r="H225" i="1"/>
  <c r="J225" i="1"/>
  <c r="K225" i="1"/>
  <c r="M225" i="1"/>
  <c r="P225" i="1"/>
  <c r="D226" i="1"/>
  <c r="Q226" i="1" s="1"/>
  <c r="H226" i="1"/>
  <c r="J226" i="1"/>
  <c r="K226" i="1"/>
  <c r="M226" i="1"/>
  <c r="P226" i="1"/>
  <c r="D227" i="1"/>
  <c r="H227" i="1"/>
  <c r="J227" i="1"/>
  <c r="K227" i="1"/>
  <c r="M227" i="1"/>
  <c r="P227" i="1"/>
  <c r="Q227" i="1"/>
  <c r="D228" i="1"/>
  <c r="Q228" i="1" s="1"/>
  <c r="H228" i="1"/>
  <c r="J228" i="1"/>
  <c r="K228" i="1"/>
  <c r="M228" i="1"/>
  <c r="P228" i="1"/>
  <c r="D229" i="1"/>
  <c r="Q229" i="1" s="1"/>
  <c r="H229" i="1"/>
  <c r="J229" i="1"/>
  <c r="K229" i="1"/>
  <c r="M229" i="1"/>
  <c r="P229" i="1"/>
  <c r="D230" i="1"/>
  <c r="Q230" i="1" s="1"/>
  <c r="H230" i="1"/>
  <c r="J230" i="1"/>
  <c r="K230" i="1"/>
  <c r="M230" i="1"/>
  <c r="P230" i="1"/>
  <c r="D231" i="1"/>
  <c r="Q231" i="1" s="1"/>
  <c r="H231" i="1"/>
  <c r="J231" i="1"/>
  <c r="K231" i="1"/>
  <c r="M231" i="1"/>
  <c r="P231" i="1"/>
  <c r="D232" i="1"/>
  <c r="H232" i="1"/>
  <c r="J232" i="1"/>
  <c r="K232" i="1"/>
  <c r="M232" i="1"/>
  <c r="P232" i="1"/>
  <c r="Q232" i="1"/>
  <c r="D233" i="1"/>
  <c r="Q233" i="1" s="1"/>
  <c r="H233" i="1"/>
  <c r="J233" i="1"/>
  <c r="K233" i="1"/>
  <c r="M233" i="1"/>
  <c r="P233" i="1"/>
  <c r="D234" i="1"/>
  <c r="H234" i="1"/>
  <c r="J234" i="1"/>
  <c r="K234" i="1"/>
  <c r="M234" i="1"/>
  <c r="P234" i="1"/>
  <c r="D235" i="1"/>
  <c r="Q235" i="1" s="1"/>
  <c r="H235" i="1"/>
  <c r="J235" i="1"/>
  <c r="K235" i="1"/>
  <c r="M235" i="1"/>
  <c r="P235" i="1"/>
  <c r="D236" i="1"/>
  <c r="H236" i="1"/>
  <c r="J236" i="1"/>
  <c r="K236" i="1"/>
  <c r="M236" i="1"/>
  <c r="P236" i="1"/>
  <c r="Q236" i="1"/>
  <c r="D237" i="1"/>
  <c r="H237" i="1"/>
  <c r="J237" i="1"/>
  <c r="K237" i="1"/>
  <c r="M237" i="1"/>
  <c r="P237" i="1"/>
  <c r="Q237" i="1"/>
  <c r="D238" i="1"/>
  <c r="H238" i="1"/>
  <c r="J238" i="1"/>
  <c r="K238" i="1"/>
  <c r="M238" i="1"/>
  <c r="P238" i="1"/>
  <c r="Q238" i="1"/>
  <c r="D239" i="1"/>
  <c r="H239" i="1"/>
  <c r="J239" i="1"/>
  <c r="K239" i="1"/>
  <c r="M239" i="1"/>
  <c r="P239" i="1"/>
  <c r="Q239" i="1"/>
  <c r="D240" i="1"/>
  <c r="Q240" i="1" s="1"/>
  <c r="H240" i="1"/>
  <c r="J240" i="1"/>
  <c r="K240" i="1"/>
  <c r="M240" i="1"/>
  <c r="P240" i="1"/>
  <c r="D241" i="1"/>
  <c r="H241" i="1"/>
  <c r="J241" i="1"/>
  <c r="K241" i="1"/>
  <c r="M241" i="1"/>
  <c r="P241" i="1"/>
  <c r="Q241" i="1" s="1"/>
  <c r="D242" i="1"/>
  <c r="H242" i="1"/>
  <c r="J242" i="1"/>
  <c r="K242" i="1"/>
  <c r="M242" i="1"/>
  <c r="P242" i="1"/>
  <c r="D243" i="1"/>
  <c r="H243" i="1"/>
  <c r="J243" i="1"/>
  <c r="K243" i="1"/>
  <c r="M243" i="1"/>
  <c r="P243" i="1"/>
  <c r="Q243" i="1"/>
  <c r="D244" i="1"/>
  <c r="H244" i="1"/>
  <c r="J244" i="1"/>
  <c r="K244" i="1"/>
  <c r="M244" i="1"/>
  <c r="P244" i="1"/>
  <c r="D245" i="1"/>
  <c r="Q245" i="1" s="1"/>
  <c r="H245" i="1"/>
  <c r="J245" i="1"/>
  <c r="K245" i="1"/>
  <c r="M245" i="1"/>
  <c r="P245" i="1"/>
  <c r="D246" i="1"/>
  <c r="Q246" i="1" s="1"/>
  <c r="H246" i="1"/>
  <c r="J246" i="1"/>
  <c r="K246" i="1"/>
  <c r="M246" i="1"/>
  <c r="P246" i="1"/>
  <c r="D247" i="1"/>
  <c r="H247" i="1"/>
  <c r="J247" i="1"/>
  <c r="K247" i="1"/>
  <c r="M247" i="1"/>
  <c r="P247" i="1"/>
  <c r="D248" i="1"/>
  <c r="H248" i="1"/>
  <c r="J248" i="1"/>
  <c r="K248" i="1"/>
  <c r="M248" i="1"/>
  <c r="P248" i="1"/>
  <c r="Q248" i="1"/>
  <c r="D249" i="1"/>
  <c r="H249" i="1"/>
  <c r="J249" i="1"/>
  <c r="K249" i="1"/>
  <c r="M249" i="1"/>
  <c r="P249" i="1"/>
  <c r="D250" i="1"/>
  <c r="H250" i="1"/>
  <c r="J250" i="1"/>
  <c r="K250" i="1"/>
  <c r="M250" i="1"/>
  <c r="P250" i="1"/>
  <c r="D251" i="1"/>
  <c r="Q251" i="1" s="1"/>
  <c r="H251" i="1"/>
  <c r="J251" i="1"/>
  <c r="K251" i="1"/>
  <c r="M251" i="1"/>
  <c r="P251" i="1"/>
  <c r="D252" i="1"/>
  <c r="H252" i="1"/>
  <c r="J252" i="1"/>
  <c r="K252" i="1"/>
  <c r="M252" i="1"/>
  <c r="P252" i="1"/>
  <c r="Q252" i="1"/>
  <c r="D253" i="1"/>
  <c r="H253" i="1"/>
  <c r="J253" i="1"/>
  <c r="K253" i="1"/>
  <c r="M253" i="1"/>
  <c r="P253" i="1"/>
  <c r="Q253" i="1"/>
  <c r="D254" i="1"/>
  <c r="H254" i="1"/>
  <c r="J254" i="1"/>
  <c r="K254" i="1"/>
  <c r="M254" i="1"/>
  <c r="P254" i="1"/>
  <c r="Q254" i="1"/>
  <c r="D255" i="1"/>
  <c r="Q255" i="1" s="1"/>
  <c r="H255" i="1"/>
  <c r="J255" i="1"/>
  <c r="K255" i="1"/>
  <c r="M255" i="1"/>
  <c r="P255" i="1"/>
  <c r="D256" i="1"/>
  <c r="H256" i="1"/>
  <c r="J256" i="1"/>
  <c r="K256" i="1"/>
  <c r="M256" i="1"/>
  <c r="P256" i="1"/>
  <c r="D257" i="1"/>
  <c r="H257" i="1"/>
  <c r="J257" i="1"/>
  <c r="K257" i="1"/>
  <c r="M257" i="1"/>
  <c r="P257" i="1"/>
  <c r="D258" i="1"/>
  <c r="H258" i="1"/>
  <c r="J258" i="1"/>
  <c r="K258" i="1"/>
  <c r="M258" i="1"/>
  <c r="P258" i="1"/>
  <c r="D259" i="1"/>
  <c r="H259" i="1"/>
  <c r="J259" i="1"/>
  <c r="K259" i="1"/>
  <c r="M259" i="1"/>
  <c r="P259" i="1"/>
  <c r="Q259" i="1"/>
  <c r="D260" i="1"/>
  <c r="Q260" i="1" s="1"/>
  <c r="H260" i="1"/>
  <c r="J260" i="1"/>
  <c r="K260" i="1"/>
  <c r="M260" i="1"/>
  <c r="P260" i="1"/>
  <c r="D261" i="1"/>
  <c r="H261" i="1"/>
  <c r="J261" i="1"/>
  <c r="K261" i="1"/>
  <c r="M261" i="1"/>
  <c r="P261" i="1"/>
  <c r="D262" i="1"/>
  <c r="Q262" i="1" s="1"/>
  <c r="H262" i="1"/>
  <c r="J262" i="1"/>
  <c r="K262" i="1"/>
  <c r="M262" i="1"/>
  <c r="P262" i="1"/>
  <c r="D263" i="1"/>
  <c r="H263" i="1"/>
  <c r="J263" i="1"/>
  <c r="K263" i="1"/>
  <c r="M263" i="1"/>
  <c r="P263" i="1"/>
  <c r="D264" i="1"/>
  <c r="H264" i="1"/>
  <c r="J264" i="1"/>
  <c r="K264" i="1"/>
  <c r="M264" i="1"/>
  <c r="P264" i="1"/>
  <c r="Q264" i="1"/>
  <c r="D265" i="1"/>
  <c r="Q265" i="1" s="1"/>
  <c r="H265" i="1"/>
  <c r="J265" i="1"/>
  <c r="K265" i="1"/>
  <c r="M265" i="1"/>
  <c r="P265" i="1"/>
  <c r="D266" i="1"/>
  <c r="H266" i="1"/>
  <c r="J266" i="1"/>
  <c r="K266" i="1"/>
  <c r="M266" i="1"/>
  <c r="P266" i="1"/>
  <c r="Q266" i="1" s="1"/>
  <c r="D267" i="1"/>
  <c r="H267" i="1"/>
  <c r="J267" i="1"/>
  <c r="K267" i="1"/>
  <c r="M267" i="1"/>
  <c r="P267" i="1"/>
  <c r="D268" i="1"/>
  <c r="H268" i="1"/>
  <c r="J268" i="1"/>
  <c r="K268" i="1"/>
  <c r="M268" i="1"/>
  <c r="P268" i="1"/>
  <c r="Q268" i="1"/>
  <c r="D269" i="1"/>
  <c r="H269" i="1"/>
  <c r="J269" i="1"/>
  <c r="K269" i="1"/>
  <c r="M269" i="1"/>
  <c r="P269" i="1"/>
  <c r="Q269" i="1"/>
  <c r="D270" i="1"/>
  <c r="Q270" i="1" s="1"/>
  <c r="H270" i="1"/>
  <c r="J270" i="1"/>
  <c r="K270" i="1"/>
  <c r="M270" i="1"/>
  <c r="P270" i="1"/>
  <c r="D271" i="1"/>
  <c r="H271" i="1"/>
  <c r="J271" i="1"/>
  <c r="K271" i="1"/>
  <c r="M271" i="1"/>
  <c r="P271" i="1"/>
  <c r="Q271" i="1" s="1"/>
  <c r="D272" i="1"/>
  <c r="Q272" i="1" s="1"/>
  <c r="H272" i="1"/>
  <c r="J272" i="1"/>
  <c r="K272" i="1"/>
  <c r="M272" i="1"/>
  <c r="P272" i="1"/>
  <c r="D273" i="1"/>
  <c r="H273" i="1"/>
  <c r="J273" i="1"/>
  <c r="K273" i="1"/>
  <c r="M273" i="1"/>
  <c r="P273" i="1"/>
  <c r="Q273" i="1" s="1"/>
  <c r="D274" i="1"/>
  <c r="H274" i="1"/>
  <c r="J274" i="1"/>
  <c r="K274" i="1"/>
  <c r="M274" i="1"/>
  <c r="P274" i="1"/>
  <c r="D275" i="1"/>
  <c r="Q275" i="1" s="1"/>
  <c r="H275" i="1"/>
  <c r="J275" i="1"/>
  <c r="K275" i="1"/>
  <c r="M275" i="1"/>
  <c r="P275" i="1"/>
  <c r="D276" i="1"/>
  <c r="H276" i="1"/>
  <c r="J276" i="1"/>
  <c r="K276" i="1"/>
  <c r="M276" i="1"/>
  <c r="P276" i="1"/>
  <c r="D277" i="1"/>
  <c r="Q277" i="1" s="1"/>
  <c r="H277" i="1"/>
  <c r="J277" i="1"/>
  <c r="K277" i="1"/>
  <c r="M277" i="1"/>
  <c r="P277" i="1"/>
  <c r="D278" i="1"/>
  <c r="Q278" i="1" s="1"/>
  <c r="H278" i="1"/>
  <c r="J278" i="1"/>
  <c r="K278" i="1"/>
  <c r="M278" i="1"/>
  <c r="P278" i="1"/>
  <c r="S278" i="1"/>
  <c r="T278" i="1" s="1"/>
  <c r="U278" i="1" s="1"/>
  <c r="D279" i="1"/>
  <c r="S279" i="1" s="1"/>
  <c r="T279" i="1" s="1"/>
  <c r="H279" i="1"/>
  <c r="J279" i="1"/>
  <c r="K279" i="1"/>
  <c r="M279" i="1"/>
  <c r="P279" i="1"/>
  <c r="Q279" i="1"/>
  <c r="D280" i="1"/>
  <c r="H280" i="1"/>
  <c r="J280" i="1"/>
  <c r="K280" i="1"/>
  <c r="M280" i="1"/>
  <c r="P280" i="1"/>
  <c r="D281" i="1"/>
  <c r="H281" i="1"/>
  <c r="J281" i="1"/>
  <c r="K281" i="1"/>
  <c r="M281" i="1"/>
  <c r="P281" i="1"/>
  <c r="Q281" i="1"/>
  <c r="S281" i="1"/>
  <c r="T281" i="1"/>
  <c r="D282" i="1"/>
  <c r="S282" i="1" s="1"/>
  <c r="T282" i="1" s="1"/>
  <c r="H282" i="1"/>
  <c r="J282" i="1"/>
  <c r="K282" i="1"/>
  <c r="M282" i="1"/>
  <c r="P282" i="1"/>
  <c r="Q282" i="1"/>
  <c r="D283" i="1"/>
  <c r="H283" i="1"/>
  <c r="J283" i="1"/>
  <c r="K283" i="1"/>
  <c r="M283" i="1"/>
  <c r="P283" i="1"/>
  <c r="D284" i="1"/>
  <c r="S284" i="1" s="1"/>
  <c r="T284" i="1" s="1"/>
  <c r="H284" i="1"/>
  <c r="J284" i="1"/>
  <c r="K284" i="1"/>
  <c r="M284" i="1"/>
  <c r="P284" i="1"/>
  <c r="D285" i="1"/>
  <c r="H285" i="1"/>
  <c r="J285" i="1"/>
  <c r="K285" i="1"/>
  <c r="M285" i="1"/>
  <c r="P285" i="1"/>
  <c r="D286" i="1"/>
  <c r="Q286" i="1" s="1"/>
  <c r="H286" i="1"/>
  <c r="J286" i="1"/>
  <c r="K286" i="1"/>
  <c r="M286" i="1"/>
  <c r="P286" i="1"/>
  <c r="D287" i="1"/>
  <c r="Q287" i="1" s="1"/>
  <c r="H287" i="1"/>
  <c r="J287" i="1"/>
  <c r="K287" i="1"/>
  <c r="M287" i="1"/>
  <c r="P287" i="1"/>
  <c r="D288" i="1"/>
  <c r="Q288" i="1" s="1"/>
  <c r="H288" i="1"/>
  <c r="J288" i="1"/>
  <c r="K288" i="1"/>
  <c r="M288" i="1"/>
  <c r="P288" i="1"/>
  <c r="D289" i="1"/>
  <c r="Q289" i="1" s="1"/>
  <c r="H289" i="1"/>
  <c r="J289" i="1"/>
  <c r="K289" i="1"/>
  <c r="M289" i="1"/>
  <c r="P289" i="1"/>
  <c r="S289" i="1"/>
  <c r="T289" i="1"/>
  <c r="D290" i="1"/>
  <c r="S290" i="1" s="1"/>
  <c r="T290" i="1" s="1"/>
  <c r="U290" i="1" s="1"/>
  <c r="H290" i="1"/>
  <c r="J290" i="1"/>
  <c r="K290" i="1"/>
  <c r="M290" i="1"/>
  <c r="P290" i="1"/>
  <c r="D291" i="1"/>
  <c r="H291" i="1"/>
  <c r="J291" i="1"/>
  <c r="K291" i="1"/>
  <c r="M291" i="1"/>
  <c r="P291" i="1"/>
  <c r="D292" i="1"/>
  <c r="H292" i="1"/>
  <c r="J292" i="1"/>
  <c r="K292" i="1"/>
  <c r="M292" i="1"/>
  <c r="P292" i="1"/>
  <c r="Q292" i="1" s="1"/>
  <c r="S292" i="1"/>
  <c r="T292" i="1"/>
  <c r="D293" i="1"/>
  <c r="Q293" i="1" s="1"/>
  <c r="H293" i="1"/>
  <c r="J293" i="1"/>
  <c r="K293" i="1"/>
  <c r="M293" i="1"/>
  <c r="P293" i="1"/>
  <c r="D294" i="1"/>
  <c r="H294" i="1"/>
  <c r="J294" i="1"/>
  <c r="K294" i="1"/>
  <c r="M294" i="1"/>
  <c r="P294" i="1"/>
  <c r="Q294" i="1" s="1"/>
  <c r="S294" i="1"/>
  <c r="T294" i="1" s="1"/>
  <c r="D295" i="1"/>
  <c r="Q295" i="1" s="1"/>
  <c r="H295" i="1"/>
  <c r="J295" i="1"/>
  <c r="K295" i="1"/>
  <c r="M295" i="1"/>
  <c r="P295" i="1"/>
  <c r="D296" i="1"/>
  <c r="H296" i="1"/>
  <c r="J296" i="1"/>
  <c r="K296" i="1"/>
  <c r="M296" i="1"/>
  <c r="P296" i="1"/>
  <c r="D297" i="1"/>
  <c r="Q297" i="1" s="1"/>
  <c r="H297" i="1"/>
  <c r="J297" i="1"/>
  <c r="K297" i="1"/>
  <c r="M297" i="1"/>
  <c r="P297" i="1"/>
  <c r="D298" i="1"/>
  <c r="S298" i="1" s="1"/>
  <c r="T298" i="1" s="1"/>
  <c r="H298" i="1"/>
  <c r="J298" i="1"/>
  <c r="K298" i="1"/>
  <c r="M298" i="1"/>
  <c r="P298" i="1"/>
  <c r="Q298" i="1"/>
  <c r="D299" i="1"/>
  <c r="Q299" i="1" s="1"/>
  <c r="H299" i="1"/>
  <c r="J299" i="1"/>
  <c r="K299" i="1"/>
  <c r="M299" i="1"/>
  <c r="P299" i="1"/>
  <c r="D300" i="1"/>
  <c r="S300" i="1" s="1"/>
  <c r="T300" i="1" s="1"/>
  <c r="H300" i="1"/>
  <c r="J300" i="1"/>
  <c r="K300" i="1"/>
  <c r="M300" i="1"/>
  <c r="P300" i="1"/>
  <c r="Q300" i="1" s="1"/>
  <c r="D301" i="1"/>
  <c r="H301" i="1"/>
  <c r="J301" i="1"/>
  <c r="K301" i="1"/>
  <c r="M301" i="1"/>
  <c r="P301" i="1"/>
  <c r="D302" i="1"/>
  <c r="Q302" i="1" s="1"/>
  <c r="H302" i="1"/>
  <c r="J302" i="1"/>
  <c r="K302" i="1"/>
  <c r="M302" i="1"/>
  <c r="P302" i="1"/>
  <c r="D303" i="1"/>
  <c r="H303" i="1"/>
  <c r="J303" i="1"/>
  <c r="K303" i="1"/>
  <c r="M303" i="1"/>
  <c r="P303" i="1"/>
  <c r="Q303" i="1"/>
  <c r="S303" i="1"/>
  <c r="T303" i="1" s="1"/>
  <c r="D304" i="1"/>
  <c r="Q304" i="1" s="1"/>
  <c r="H304" i="1"/>
  <c r="J304" i="1"/>
  <c r="K304" i="1"/>
  <c r="M304" i="1"/>
  <c r="P304" i="1"/>
  <c r="D305" i="1"/>
  <c r="H305" i="1"/>
  <c r="J305" i="1"/>
  <c r="K305" i="1"/>
  <c r="M305" i="1"/>
  <c r="P305" i="1"/>
  <c r="Q305" i="1" s="1"/>
  <c r="S305" i="1"/>
  <c r="T305" i="1"/>
  <c r="D306" i="1"/>
  <c r="S306" i="1" s="1"/>
  <c r="T306" i="1" s="1"/>
  <c r="H306" i="1"/>
  <c r="J306" i="1"/>
  <c r="K306" i="1"/>
  <c r="M306" i="1"/>
  <c r="P306" i="1"/>
  <c r="D307" i="1"/>
  <c r="H307" i="1"/>
  <c r="J307" i="1"/>
  <c r="K307" i="1"/>
  <c r="M307" i="1"/>
  <c r="P307" i="1"/>
  <c r="D308" i="1"/>
  <c r="S308" i="1" s="1"/>
  <c r="T308" i="1" s="1"/>
  <c r="H308" i="1"/>
  <c r="J308" i="1"/>
  <c r="K308" i="1"/>
  <c r="M308" i="1"/>
  <c r="P308" i="1"/>
  <c r="D309" i="1"/>
  <c r="Q309" i="1" s="1"/>
  <c r="H309" i="1"/>
  <c r="J309" i="1"/>
  <c r="K309" i="1"/>
  <c r="M309" i="1"/>
  <c r="P309" i="1"/>
  <c r="D310" i="1"/>
  <c r="S310" i="1" s="1"/>
  <c r="T310" i="1" s="1"/>
  <c r="H310" i="1"/>
  <c r="J310" i="1"/>
  <c r="K310" i="1"/>
  <c r="M310" i="1"/>
  <c r="P310" i="1"/>
  <c r="Q310" i="1"/>
  <c r="D311" i="1"/>
  <c r="Q311" i="1" s="1"/>
  <c r="H311" i="1"/>
  <c r="J311" i="1"/>
  <c r="K311" i="1"/>
  <c r="M311" i="1"/>
  <c r="P311" i="1"/>
  <c r="S311" i="1"/>
  <c r="T311" i="1" s="1"/>
  <c r="D312" i="1"/>
  <c r="H312" i="1"/>
  <c r="J312" i="1"/>
  <c r="K312" i="1"/>
  <c r="M312" i="1"/>
  <c r="P312" i="1"/>
  <c r="D313" i="1"/>
  <c r="Q313" i="1" s="1"/>
  <c r="H313" i="1"/>
  <c r="J313" i="1"/>
  <c r="K313" i="1"/>
  <c r="M313" i="1"/>
  <c r="P313" i="1"/>
  <c r="D314" i="1"/>
  <c r="S314" i="1" s="1"/>
  <c r="T314" i="1" s="1"/>
  <c r="U314" i="1" s="1"/>
  <c r="H314" i="1"/>
  <c r="J314" i="1"/>
  <c r="K314" i="1"/>
  <c r="M314" i="1"/>
  <c r="P314" i="1"/>
  <c r="Q314" i="1"/>
  <c r="D315" i="1"/>
  <c r="Q315" i="1" s="1"/>
  <c r="H315" i="1"/>
  <c r="J315" i="1"/>
  <c r="K315" i="1"/>
  <c r="M315" i="1"/>
  <c r="P315" i="1"/>
  <c r="D316" i="1"/>
  <c r="H316" i="1"/>
  <c r="J316" i="1"/>
  <c r="K316" i="1"/>
  <c r="M316" i="1"/>
  <c r="P316" i="1"/>
  <c r="Q316" i="1" s="1"/>
  <c r="S316" i="1"/>
  <c r="T316" i="1"/>
  <c r="D317" i="1"/>
  <c r="Q317" i="1" s="1"/>
  <c r="H317" i="1"/>
  <c r="J317" i="1"/>
  <c r="K317" i="1"/>
  <c r="M317" i="1"/>
  <c r="P317" i="1"/>
  <c r="D318" i="1"/>
  <c r="Q318" i="1" s="1"/>
  <c r="H318" i="1"/>
  <c r="J318" i="1"/>
  <c r="K318" i="1"/>
  <c r="M318" i="1"/>
  <c r="P318" i="1"/>
  <c r="S318" i="1"/>
  <c r="T318" i="1" s="1"/>
  <c r="D319" i="1"/>
  <c r="Q319" i="1" s="1"/>
  <c r="H319" i="1"/>
  <c r="J319" i="1"/>
  <c r="K319" i="1"/>
  <c r="M319" i="1"/>
  <c r="P319" i="1"/>
  <c r="D320" i="1"/>
  <c r="Q320" i="1" s="1"/>
  <c r="H320" i="1"/>
  <c r="J320" i="1"/>
  <c r="K320" i="1"/>
  <c r="M320" i="1"/>
  <c r="P320" i="1"/>
  <c r="D321" i="1"/>
  <c r="S321" i="1" s="1"/>
  <c r="T321" i="1" s="1"/>
  <c r="H321" i="1"/>
  <c r="J321" i="1"/>
  <c r="K321" i="1"/>
  <c r="M321" i="1"/>
  <c r="P321" i="1"/>
  <c r="Q321" i="1"/>
  <c r="D322" i="1"/>
  <c r="S322" i="1" s="1"/>
  <c r="T322" i="1" s="1"/>
  <c r="H322" i="1"/>
  <c r="J322" i="1"/>
  <c r="K322" i="1"/>
  <c r="M322" i="1"/>
  <c r="P322" i="1"/>
  <c r="Q322" i="1"/>
  <c r="D323" i="1"/>
  <c r="H323" i="1"/>
  <c r="J323" i="1"/>
  <c r="K323" i="1"/>
  <c r="M323" i="1"/>
  <c r="P323" i="1"/>
  <c r="D324" i="1"/>
  <c r="S324" i="1" s="1"/>
  <c r="T324" i="1" s="1"/>
  <c r="H324" i="1"/>
  <c r="J324" i="1"/>
  <c r="K324" i="1"/>
  <c r="M324" i="1"/>
  <c r="P324" i="1"/>
  <c r="D325" i="1"/>
  <c r="H325" i="1"/>
  <c r="J325" i="1"/>
  <c r="K325" i="1"/>
  <c r="M325" i="1"/>
  <c r="P325" i="1"/>
  <c r="D326" i="1"/>
  <c r="Q326" i="1" s="1"/>
  <c r="H326" i="1"/>
  <c r="J326" i="1"/>
  <c r="K326" i="1"/>
  <c r="M326" i="1"/>
  <c r="P326" i="1"/>
  <c r="D327" i="1"/>
  <c r="H327" i="1"/>
  <c r="J327" i="1"/>
  <c r="K327" i="1"/>
  <c r="M327" i="1"/>
  <c r="P327" i="1"/>
  <c r="Q327" i="1" s="1"/>
  <c r="S327" i="1"/>
  <c r="T327" i="1" s="1"/>
  <c r="D328" i="1"/>
  <c r="Q328" i="1" s="1"/>
  <c r="H328" i="1"/>
  <c r="J328" i="1"/>
  <c r="K328" i="1"/>
  <c r="M328" i="1"/>
  <c r="P328" i="1"/>
  <c r="D329" i="1"/>
  <c r="Q329" i="1" s="1"/>
  <c r="H329" i="1"/>
  <c r="J329" i="1"/>
  <c r="K329" i="1"/>
  <c r="M329" i="1"/>
  <c r="P329" i="1"/>
  <c r="S329" i="1"/>
  <c r="T329" i="1" s="1"/>
  <c r="D330" i="1"/>
  <c r="S330" i="1" s="1"/>
  <c r="T330" i="1" s="1"/>
  <c r="H330" i="1"/>
  <c r="J330" i="1"/>
  <c r="K330" i="1"/>
  <c r="M330" i="1"/>
  <c r="P330" i="1"/>
  <c r="D331" i="1"/>
  <c r="Q331" i="1" s="1"/>
  <c r="H331" i="1"/>
  <c r="J331" i="1"/>
  <c r="K331" i="1"/>
  <c r="M331" i="1"/>
  <c r="P331" i="1"/>
  <c r="D332" i="1"/>
  <c r="H332" i="1"/>
  <c r="J332" i="1"/>
  <c r="K332" i="1"/>
  <c r="M332" i="1"/>
  <c r="P332" i="1"/>
  <c r="Q332" i="1" s="1"/>
  <c r="S332" i="1"/>
  <c r="T332" i="1" s="1"/>
  <c r="D333" i="1"/>
  <c r="H333" i="1"/>
  <c r="J333" i="1"/>
  <c r="K333" i="1"/>
  <c r="M333" i="1"/>
  <c r="P333" i="1"/>
  <c r="D334" i="1"/>
  <c r="H334" i="1"/>
  <c r="J334" i="1"/>
  <c r="K334" i="1"/>
  <c r="M334" i="1"/>
  <c r="P334" i="1"/>
  <c r="Q334" i="1"/>
  <c r="S334" i="1"/>
  <c r="T334" i="1" s="1"/>
  <c r="D335" i="1"/>
  <c r="Q335" i="1" s="1"/>
  <c r="H335" i="1"/>
  <c r="J335" i="1"/>
  <c r="K335" i="1"/>
  <c r="M335" i="1"/>
  <c r="P335" i="1"/>
  <c r="D336" i="1"/>
  <c r="H336" i="1"/>
  <c r="J336" i="1"/>
  <c r="K336" i="1"/>
  <c r="M336" i="1"/>
  <c r="P336" i="1"/>
  <c r="D337" i="1"/>
  <c r="Q337" i="1" s="1"/>
  <c r="H337" i="1"/>
  <c r="J337" i="1"/>
  <c r="K337" i="1"/>
  <c r="M337" i="1"/>
  <c r="P337" i="1"/>
  <c r="D338" i="1"/>
  <c r="S338" i="1" s="1"/>
  <c r="T338" i="1" s="1"/>
  <c r="U338" i="1" s="1"/>
  <c r="H338" i="1"/>
  <c r="J338" i="1"/>
  <c r="K338" i="1"/>
  <c r="M338" i="1"/>
  <c r="P338" i="1"/>
  <c r="Q338" i="1"/>
  <c r="D339" i="1"/>
  <c r="Q339" i="1" s="1"/>
  <c r="H339" i="1"/>
  <c r="J339" i="1"/>
  <c r="K339" i="1"/>
  <c r="M339" i="1"/>
  <c r="P339" i="1"/>
  <c r="D340" i="1"/>
  <c r="Q340" i="1" s="1"/>
  <c r="H340" i="1"/>
  <c r="J340" i="1"/>
  <c r="K340" i="1"/>
  <c r="M340" i="1"/>
  <c r="P340" i="1"/>
  <c r="D341" i="1"/>
  <c r="Q341" i="1" s="1"/>
  <c r="H341" i="1"/>
  <c r="J341" i="1"/>
  <c r="K341" i="1"/>
  <c r="M341" i="1"/>
  <c r="P341" i="1"/>
  <c r="D342" i="1"/>
  <c r="H342" i="1"/>
  <c r="J342" i="1"/>
  <c r="K342" i="1"/>
  <c r="M342" i="1"/>
  <c r="P342" i="1"/>
  <c r="Q342" i="1"/>
  <c r="S342" i="1"/>
  <c r="T342" i="1" s="1"/>
  <c r="D343" i="1"/>
  <c r="Q343" i="1" s="1"/>
  <c r="H343" i="1"/>
  <c r="J343" i="1"/>
  <c r="K343" i="1"/>
  <c r="M343" i="1"/>
  <c r="P343" i="1"/>
  <c r="D344" i="1"/>
  <c r="Q344" i="1" s="1"/>
  <c r="H344" i="1"/>
  <c r="J344" i="1"/>
  <c r="K344" i="1"/>
  <c r="M344" i="1"/>
  <c r="P344" i="1"/>
  <c r="D345" i="1"/>
  <c r="H345" i="1"/>
  <c r="J345" i="1"/>
  <c r="K345" i="1"/>
  <c r="M345" i="1"/>
  <c r="P345" i="1"/>
  <c r="Q345" i="1"/>
  <c r="S345" i="1"/>
  <c r="T345" i="1" s="1"/>
  <c r="D346" i="1"/>
  <c r="S346" i="1" s="1"/>
  <c r="T346" i="1" s="1"/>
  <c r="H346" i="1"/>
  <c r="J346" i="1"/>
  <c r="K346" i="1"/>
  <c r="M346" i="1"/>
  <c r="P346" i="1"/>
  <c r="D347" i="1"/>
  <c r="H347" i="1"/>
  <c r="J347" i="1"/>
  <c r="K347" i="1"/>
  <c r="M347" i="1"/>
  <c r="P347" i="1"/>
  <c r="D348" i="1"/>
  <c r="Q348" i="1" s="1"/>
  <c r="H348" i="1"/>
  <c r="J348" i="1"/>
  <c r="K348" i="1"/>
  <c r="M348" i="1"/>
  <c r="P348" i="1"/>
  <c r="D349" i="1"/>
  <c r="H349" i="1"/>
  <c r="J349" i="1"/>
  <c r="K349" i="1"/>
  <c r="M349" i="1"/>
  <c r="P349" i="1"/>
  <c r="D350" i="1"/>
  <c r="Q350" i="1" s="1"/>
  <c r="H350" i="1"/>
  <c r="J350" i="1"/>
  <c r="K350" i="1"/>
  <c r="M350" i="1"/>
  <c r="P350" i="1"/>
  <c r="D351" i="1"/>
  <c r="H351" i="1"/>
  <c r="J351" i="1"/>
  <c r="K351" i="1"/>
  <c r="M351" i="1"/>
  <c r="P351" i="1"/>
  <c r="Q351" i="1" s="1"/>
  <c r="S351" i="1"/>
  <c r="T351" i="1"/>
  <c r="D352" i="1"/>
  <c r="Q352" i="1" s="1"/>
  <c r="H352" i="1"/>
  <c r="J352" i="1"/>
  <c r="K352" i="1"/>
  <c r="M352" i="1"/>
  <c r="P352" i="1"/>
  <c r="D353" i="1"/>
  <c r="H353" i="1"/>
  <c r="J353" i="1"/>
  <c r="K353" i="1"/>
  <c r="M353" i="1"/>
  <c r="P353" i="1"/>
  <c r="Q353" i="1"/>
  <c r="S353" i="1"/>
  <c r="T353" i="1"/>
  <c r="D354" i="1"/>
  <c r="S354" i="1" s="1"/>
  <c r="T354" i="1" s="1"/>
  <c r="H354" i="1"/>
  <c r="J354" i="1"/>
  <c r="K354" i="1"/>
  <c r="M354" i="1"/>
  <c r="P354" i="1"/>
  <c r="D355" i="1"/>
  <c r="H355" i="1"/>
  <c r="J355" i="1"/>
  <c r="K355" i="1"/>
  <c r="M355" i="1"/>
  <c r="P355" i="1"/>
  <c r="D356" i="1"/>
  <c r="Q356" i="1" s="1"/>
  <c r="H356" i="1"/>
  <c r="J356" i="1"/>
  <c r="K356" i="1"/>
  <c r="M356" i="1"/>
  <c r="P356" i="1"/>
  <c r="D357" i="1"/>
  <c r="Q357" i="1" s="1"/>
  <c r="H357" i="1"/>
  <c r="J357" i="1"/>
  <c r="K357" i="1"/>
  <c r="M357" i="1"/>
  <c r="P357" i="1"/>
  <c r="D358" i="1"/>
  <c r="S358" i="1" s="1"/>
  <c r="T358" i="1" s="1"/>
  <c r="H358" i="1"/>
  <c r="J358" i="1"/>
  <c r="K358" i="1"/>
  <c r="M358" i="1"/>
  <c r="P358" i="1"/>
  <c r="Q358" i="1"/>
  <c r="D359" i="1"/>
  <c r="Q359" i="1" s="1"/>
  <c r="H359" i="1"/>
  <c r="J359" i="1"/>
  <c r="K359" i="1"/>
  <c r="M359" i="1"/>
  <c r="P359" i="1"/>
  <c r="S359" i="1"/>
  <c r="T359" i="1"/>
  <c r="D360" i="1"/>
  <c r="H360" i="1"/>
  <c r="J360" i="1"/>
  <c r="K360" i="1"/>
  <c r="M360" i="1"/>
  <c r="P360" i="1"/>
  <c r="D361" i="1"/>
  <c r="S361" i="1" s="1"/>
  <c r="T361" i="1" s="1"/>
  <c r="H361" i="1"/>
  <c r="J361" i="1"/>
  <c r="K361" i="1"/>
  <c r="M361" i="1"/>
  <c r="P361" i="1"/>
  <c r="Q361" i="1"/>
  <c r="D362" i="1"/>
  <c r="S362" i="1" s="1"/>
  <c r="T362" i="1" s="1"/>
  <c r="U362" i="1" s="1"/>
  <c r="H362" i="1"/>
  <c r="J362" i="1"/>
  <c r="K362" i="1"/>
  <c r="M362" i="1"/>
  <c r="P362" i="1"/>
  <c r="Q362" i="1"/>
  <c r="D363" i="1"/>
  <c r="Q363" i="1" s="1"/>
  <c r="H363" i="1"/>
  <c r="J363" i="1"/>
  <c r="K363" i="1"/>
  <c r="M363" i="1"/>
  <c r="P363" i="1"/>
  <c r="D364" i="1"/>
  <c r="H364" i="1"/>
  <c r="J364" i="1"/>
  <c r="K364" i="1"/>
  <c r="M364" i="1"/>
  <c r="P364" i="1"/>
  <c r="Q364" i="1"/>
  <c r="S364" i="1"/>
  <c r="T364" i="1"/>
  <c r="D365" i="1"/>
  <c r="Q365" i="1" s="1"/>
  <c r="H365" i="1"/>
  <c r="J365" i="1"/>
  <c r="K365" i="1"/>
  <c r="M365" i="1"/>
  <c r="P365" i="1"/>
  <c r="D366" i="1"/>
  <c r="H366" i="1"/>
  <c r="J366" i="1"/>
  <c r="K366" i="1"/>
  <c r="M366" i="1"/>
  <c r="P366" i="1"/>
  <c r="Q366" i="1" s="1"/>
  <c r="S366" i="1"/>
  <c r="T366" i="1" s="1"/>
  <c r="D367" i="1"/>
  <c r="Q367" i="1" s="1"/>
  <c r="H367" i="1"/>
  <c r="J367" i="1"/>
  <c r="K367" i="1"/>
  <c r="M367" i="1"/>
  <c r="P367" i="1"/>
  <c r="D368" i="1"/>
  <c r="Q368" i="1" s="1"/>
  <c r="H368" i="1"/>
  <c r="J368" i="1"/>
  <c r="K368" i="1"/>
  <c r="M368" i="1"/>
  <c r="P368" i="1"/>
  <c r="D369" i="1"/>
  <c r="Q369" i="1" s="1"/>
  <c r="H369" i="1"/>
  <c r="J369" i="1"/>
  <c r="K369" i="1"/>
  <c r="M369" i="1"/>
  <c r="P369" i="1"/>
  <c r="D370" i="1"/>
  <c r="S370" i="1" s="1"/>
  <c r="T370" i="1" s="1"/>
  <c r="H370" i="1"/>
  <c r="J370" i="1"/>
  <c r="K370" i="1"/>
  <c r="M370" i="1"/>
  <c r="P370" i="1"/>
  <c r="Q370" i="1" s="1"/>
  <c r="D371" i="1"/>
  <c r="Q371" i="1" s="1"/>
  <c r="H371" i="1"/>
  <c r="J371" i="1"/>
  <c r="K371" i="1"/>
  <c r="M371" i="1"/>
  <c r="P371" i="1"/>
  <c r="D372" i="1"/>
  <c r="Q372" i="1" s="1"/>
  <c r="H372" i="1"/>
  <c r="J372" i="1"/>
  <c r="K372" i="1"/>
  <c r="M372" i="1"/>
  <c r="P372" i="1"/>
  <c r="S372" i="1"/>
  <c r="T372" i="1"/>
  <c r="D373" i="1"/>
  <c r="Q373" i="1" s="1"/>
  <c r="H373" i="1"/>
  <c r="J373" i="1"/>
  <c r="K373" i="1"/>
  <c r="M373" i="1"/>
  <c r="P373" i="1"/>
  <c r="D374" i="1"/>
  <c r="Q374" i="1" s="1"/>
  <c r="H374" i="1"/>
  <c r="J374" i="1"/>
  <c r="K374" i="1"/>
  <c r="M374" i="1"/>
  <c r="P374" i="1"/>
  <c r="D375" i="1"/>
  <c r="S375" i="1" s="1"/>
  <c r="T375" i="1" s="1"/>
  <c r="H375" i="1"/>
  <c r="J375" i="1"/>
  <c r="K375" i="1"/>
  <c r="M375" i="1"/>
  <c r="P375" i="1"/>
  <c r="Q375" i="1"/>
  <c r="D376" i="1"/>
  <c r="Q376" i="1" s="1"/>
  <c r="H376" i="1"/>
  <c r="J376" i="1"/>
  <c r="K376" i="1"/>
  <c r="M376" i="1"/>
  <c r="P376" i="1"/>
  <c r="D377" i="1"/>
  <c r="H377" i="1"/>
  <c r="J377" i="1"/>
  <c r="K377" i="1"/>
  <c r="M377" i="1"/>
  <c r="P377" i="1"/>
  <c r="Q377" i="1"/>
  <c r="S377" i="1"/>
  <c r="T377" i="1" s="1"/>
  <c r="D378" i="1"/>
  <c r="S378" i="1" s="1"/>
  <c r="T378" i="1" s="1"/>
  <c r="H378" i="1"/>
  <c r="J378" i="1"/>
  <c r="K378" i="1"/>
  <c r="M378" i="1"/>
  <c r="P378" i="1"/>
  <c r="D379" i="1"/>
  <c r="H379" i="1"/>
  <c r="J379" i="1"/>
  <c r="K379" i="1"/>
  <c r="M379" i="1"/>
  <c r="P379" i="1"/>
  <c r="D380" i="1"/>
  <c r="Q380" i="1" s="1"/>
  <c r="H380" i="1"/>
  <c r="J380" i="1"/>
  <c r="K380" i="1"/>
  <c r="M380" i="1"/>
  <c r="P380" i="1"/>
  <c r="D381" i="1"/>
  <c r="H381" i="1"/>
  <c r="J381" i="1"/>
  <c r="K381" i="1"/>
  <c r="M381" i="1"/>
  <c r="P381" i="1"/>
  <c r="D382" i="1"/>
  <c r="Q382" i="1" s="1"/>
  <c r="H382" i="1"/>
  <c r="J382" i="1"/>
  <c r="K382" i="1"/>
  <c r="M382" i="1"/>
  <c r="P382" i="1"/>
  <c r="D383" i="1"/>
  <c r="H383" i="1"/>
  <c r="J383" i="1"/>
  <c r="K383" i="1"/>
  <c r="M383" i="1"/>
  <c r="P383" i="1"/>
  <c r="Q383" i="1" s="1"/>
  <c r="S383" i="1"/>
  <c r="T383" i="1"/>
  <c r="D384" i="1"/>
  <c r="Q384" i="1" s="1"/>
  <c r="H384" i="1"/>
  <c r="J384" i="1"/>
  <c r="K384" i="1"/>
  <c r="M384" i="1"/>
  <c r="P384" i="1"/>
  <c r="D385" i="1"/>
  <c r="H385" i="1"/>
  <c r="J385" i="1"/>
  <c r="K385" i="1"/>
  <c r="M385" i="1"/>
  <c r="P385" i="1"/>
  <c r="Q385" i="1"/>
  <c r="S385" i="1"/>
  <c r="T385" i="1"/>
  <c r="D386" i="1"/>
  <c r="S386" i="1" s="1"/>
  <c r="T386" i="1" s="1"/>
  <c r="U386" i="1" s="1"/>
  <c r="H386" i="1"/>
  <c r="J386" i="1"/>
  <c r="K386" i="1"/>
  <c r="M386" i="1"/>
  <c r="P386" i="1"/>
  <c r="D387" i="1"/>
  <c r="H387" i="1"/>
  <c r="J387" i="1"/>
  <c r="K387" i="1"/>
  <c r="M387" i="1"/>
  <c r="P387" i="1"/>
  <c r="D388" i="1"/>
  <c r="Q388" i="1" s="1"/>
  <c r="H388" i="1"/>
  <c r="J388" i="1"/>
  <c r="K388" i="1"/>
  <c r="M388" i="1"/>
  <c r="P388" i="1"/>
  <c r="D389" i="1"/>
  <c r="Q389" i="1" s="1"/>
  <c r="H389" i="1"/>
  <c r="J389" i="1"/>
  <c r="K389" i="1"/>
  <c r="M389" i="1"/>
  <c r="P389" i="1"/>
  <c r="D390" i="1"/>
  <c r="S390" i="1" s="1"/>
  <c r="T390" i="1" s="1"/>
  <c r="H390" i="1"/>
  <c r="J390" i="1"/>
  <c r="K390" i="1"/>
  <c r="M390" i="1"/>
  <c r="P390" i="1"/>
  <c r="Q390" i="1"/>
  <c r="D391" i="1"/>
  <c r="Q391" i="1" s="1"/>
  <c r="H391" i="1"/>
  <c r="J391" i="1"/>
  <c r="K391" i="1"/>
  <c r="M391" i="1"/>
  <c r="P391" i="1"/>
  <c r="W391" i="1"/>
  <c r="X391" i="1"/>
  <c r="D392" i="1"/>
  <c r="Q392" i="1" s="1"/>
  <c r="H392" i="1"/>
  <c r="J392" i="1"/>
  <c r="K392" i="1"/>
  <c r="M392" i="1"/>
  <c r="P392" i="1"/>
  <c r="W392" i="1"/>
  <c r="X392" i="1"/>
  <c r="D393" i="1"/>
  <c r="H393" i="1"/>
  <c r="J393" i="1"/>
  <c r="K393" i="1"/>
  <c r="M393" i="1"/>
  <c r="P393" i="1"/>
  <c r="W393" i="1"/>
  <c r="X393" i="1"/>
  <c r="D394" i="1"/>
  <c r="Q394" i="1" s="1"/>
  <c r="H394" i="1"/>
  <c r="J394" i="1"/>
  <c r="K394" i="1"/>
  <c r="M394" i="1"/>
  <c r="P394" i="1"/>
  <c r="S394" i="1"/>
  <c r="T394" i="1" s="1"/>
  <c r="W394" i="1"/>
  <c r="X394" i="1"/>
  <c r="D395" i="1"/>
  <c r="H395" i="1"/>
  <c r="J395" i="1"/>
  <c r="K395" i="1"/>
  <c r="M395" i="1"/>
  <c r="P395" i="1"/>
  <c r="Q395" i="1"/>
  <c r="S395" i="1"/>
  <c r="T395" i="1"/>
  <c r="W395" i="1"/>
  <c r="X395" i="1"/>
  <c r="D396" i="1"/>
  <c r="Q396" i="1" s="1"/>
  <c r="H396" i="1"/>
  <c r="J396" i="1"/>
  <c r="K396" i="1"/>
  <c r="M396" i="1"/>
  <c r="P396" i="1"/>
  <c r="W396" i="1"/>
  <c r="X396" i="1"/>
  <c r="Y396" i="1"/>
  <c r="Z396" i="1" s="1"/>
  <c r="D397" i="1"/>
  <c r="Q397" i="1" s="1"/>
  <c r="H397" i="1"/>
  <c r="J397" i="1"/>
  <c r="K397" i="1"/>
  <c r="M397" i="1"/>
  <c r="P397" i="1"/>
  <c r="W397" i="1"/>
  <c r="X397" i="1"/>
  <c r="Y397" i="1"/>
  <c r="Z397" i="1" s="1"/>
  <c r="D398" i="1"/>
  <c r="H398" i="1"/>
  <c r="J398" i="1"/>
  <c r="K398" i="1"/>
  <c r="M398" i="1"/>
  <c r="P398" i="1"/>
  <c r="W398" i="1"/>
  <c r="X398" i="1"/>
  <c r="Z398" i="1"/>
  <c r="D399" i="1"/>
  <c r="Q399" i="1" s="1"/>
  <c r="H399" i="1"/>
  <c r="J399" i="1"/>
  <c r="K399" i="1"/>
  <c r="M399" i="1"/>
  <c r="P399" i="1"/>
  <c r="W399" i="1"/>
  <c r="X399" i="1"/>
  <c r="Y399" i="1"/>
  <c r="Z399" i="1" s="1"/>
  <c r="D400" i="1"/>
  <c r="H400" i="1"/>
  <c r="J400" i="1"/>
  <c r="K400" i="1"/>
  <c r="M400" i="1"/>
  <c r="P400" i="1"/>
  <c r="Q400" i="1" s="1"/>
  <c r="S400" i="1"/>
  <c r="T400" i="1" s="1"/>
  <c r="W400" i="1"/>
  <c r="X400" i="1"/>
  <c r="Y400" i="1" s="1"/>
  <c r="Z400" i="1" s="1"/>
  <c r="D401" i="1"/>
  <c r="S401" i="1" s="1"/>
  <c r="T401" i="1" s="1"/>
  <c r="H401" i="1"/>
  <c r="J401" i="1"/>
  <c r="K401" i="1"/>
  <c r="M401" i="1"/>
  <c r="P401" i="1"/>
  <c r="W401" i="1"/>
  <c r="X401" i="1"/>
  <c r="D402" i="1"/>
  <c r="Q402" i="1" s="1"/>
  <c r="H402" i="1"/>
  <c r="J402" i="1"/>
  <c r="K402" i="1"/>
  <c r="M402" i="1"/>
  <c r="P402" i="1"/>
  <c r="W402" i="1"/>
  <c r="X402" i="1"/>
  <c r="D403" i="1"/>
  <c r="H403" i="1"/>
  <c r="J403" i="1"/>
  <c r="K403" i="1"/>
  <c r="M403" i="1"/>
  <c r="P403" i="1"/>
  <c r="W403" i="1"/>
  <c r="X403" i="1"/>
  <c r="D404" i="1"/>
  <c r="Q404" i="1" s="1"/>
  <c r="H404" i="1"/>
  <c r="J404" i="1"/>
  <c r="K404" i="1"/>
  <c r="M404" i="1"/>
  <c r="P404" i="1"/>
  <c r="S404" i="1"/>
  <c r="T404" i="1" s="1"/>
  <c r="W404" i="1"/>
  <c r="X404" i="1"/>
  <c r="D405" i="1"/>
  <c r="H405" i="1"/>
  <c r="J405" i="1"/>
  <c r="K405" i="1"/>
  <c r="M405" i="1"/>
  <c r="P405" i="1"/>
  <c r="Q405" i="1" s="1"/>
  <c r="S405" i="1"/>
  <c r="T405" i="1" s="1"/>
  <c r="W405" i="1"/>
  <c r="X405" i="1"/>
  <c r="Y405" i="1" s="1"/>
  <c r="Z405" i="1" s="1"/>
  <c r="D406" i="1"/>
  <c r="S406" i="1" s="1"/>
  <c r="T406" i="1" s="1"/>
  <c r="H406" i="1"/>
  <c r="J406" i="1"/>
  <c r="K406" i="1"/>
  <c r="M406" i="1"/>
  <c r="P406" i="1"/>
  <c r="W406" i="1"/>
  <c r="X406" i="1"/>
  <c r="Y406" i="1"/>
  <c r="Z406" i="1" s="1"/>
  <c r="D407" i="1"/>
  <c r="Q407" i="1" s="1"/>
  <c r="H407" i="1"/>
  <c r="J407" i="1"/>
  <c r="K407" i="1"/>
  <c r="M407" i="1"/>
  <c r="P407" i="1"/>
  <c r="W407" i="1"/>
  <c r="X407" i="1"/>
  <c r="Y407" i="1" s="1"/>
  <c r="Z407" i="1" s="1"/>
  <c r="D408" i="1"/>
  <c r="Q408" i="1" s="1"/>
  <c r="H408" i="1"/>
  <c r="J408" i="1"/>
  <c r="K408" i="1"/>
  <c r="M408" i="1"/>
  <c r="P408" i="1"/>
  <c r="W408" i="1"/>
  <c r="X408" i="1"/>
  <c r="Y408" i="1" s="1"/>
  <c r="Z408" i="1" s="1"/>
  <c r="AB408" i="1"/>
  <c r="D409" i="1"/>
  <c r="Q409" i="1" s="1"/>
  <c r="H409" i="1"/>
  <c r="J409" i="1"/>
  <c r="K409" i="1"/>
  <c r="M409" i="1"/>
  <c r="P409" i="1"/>
  <c r="W409" i="1"/>
  <c r="X409" i="1"/>
  <c r="Y409" i="1" s="1"/>
  <c r="Z409" i="1" s="1"/>
  <c r="AB409" i="1"/>
  <c r="D410" i="1"/>
  <c r="H410" i="1"/>
  <c r="J410" i="1"/>
  <c r="K410" i="1"/>
  <c r="M410" i="1"/>
  <c r="P410" i="1"/>
  <c r="W410" i="1"/>
  <c r="X410" i="1"/>
  <c r="Y410" i="1" s="1"/>
  <c r="Z410" i="1" s="1"/>
  <c r="AB410" i="1"/>
  <c r="D411" i="1"/>
  <c r="Q411" i="1" s="1"/>
  <c r="H411" i="1"/>
  <c r="J411" i="1"/>
  <c r="K411" i="1"/>
  <c r="M411" i="1"/>
  <c r="P411" i="1"/>
  <c r="W411" i="1"/>
  <c r="X411" i="1"/>
  <c r="Y411" i="1"/>
  <c r="Z411" i="1" s="1"/>
  <c r="AB411" i="1"/>
  <c r="D412" i="1"/>
  <c r="S412" i="1" s="1"/>
  <c r="T412" i="1" s="1"/>
  <c r="H412" i="1"/>
  <c r="J412" i="1"/>
  <c r="K412" i="1"/>
  <c r="M412" i="1"/>
  <c r="P412" i="1"/>
  <c r="W412" i="1"/>
  <c r="X412" i="1"/>
  <c r="AB412" i="1"/>
  <c r="D413" i="1"/>
  <c r="S413" i="1" s="1"/>
  <c r="T413" i="1" s="1"/>
  <c r="H413" i="1"/>
  <c r="J413" i="1"/>
  <c r="K413" i="1"/>
  <c r="M413" i="1"/>
  <c r="P413" i="1"/>
  <c r="Q413" i="1"/>
  <c r="W413" i="1"/>
  <c r="X413" i="1"/>
  <c r="Y413" i="1" s="1"/>
  <c r="Z413" i="1" s="1"/>
  <c r="AB413" i="1"/>
  <c r="D414" i="1"/>
  <c r="H414" i="1"/>
  <c r="J414" i="1"/>
  <c r="K414" i="1"/>
  <c r="M414" i="1"/>
  <c r="P414" i="1"/>
  <c r="Q414" i="1" s="1"/>
  <c r="S414" i="1"/>
  <c r="T414" i="1" s="1"/>
  <c r="W414" i="1"/>
  <c r="X414" i="1"/>
  <c r="Y414" i="1" s="1"/>
  <c r="Z414" i="1" s="1"/>
  <c r="AB414" i="1"/>
  <c r="D415" i="1"/>
  <c r="Q415" i="1" s="1"/>
  <c r="H415" i="1"/>
  <c r="J415" i="1"/>
  <c r="K415" i="1"/>
  <c r="M415" i="1"/>
  <c r="P415" i="1"/>
  <c r="S415" i="1"/>
  <c r="T415" i="1"/>
  <c r="W415" i="1"/>
  <c r="X415" i="1"/>
  <c r="Y415" i="1" s="1"/>
  <c r="Z415" i="1" s="1"/>
  <c r="AB415" i="1"/>
  <c r="D416" i="1"/>
  <c r="H416" i="1"/>
  <c r="J416" i="1"/>
  <c r="K416" i="1"/>
  <c r="M416" i="1"/>
  <c r="P416" i="1"/>
  <c r="Q416" i="1" s="1"/>
  <c r="S416" i="1"/>
  <c r="T416" i="1" s="1"/>
  <c r="W416" i="1"/>
  <c r="X416" i="1"/>
  <c r="Y416" i="1" s="1"/>
  <c r="Z416" i="1" s="1"/>
  <c r="AB416" i="1"/>
  <c r="D417" i="1"/>
  <c r="Q417" i="1" s="1"/>
  <c r="H417" i="1"/>
  <c r="J417" i="1"/>
  <c r="K417" i="1"/>
  <c r="M417" i="1"/>
  <c r="P417" i="1"/>
  <c r="S417" i="1"/>
  <c r="T417" i="1"/>
  <c r="W417" i="1"/>
  <c r="X417" i="1"/>
  <c r="Y417" i="1"/>
  <c r="Z417" i="1"/>
  <c r="AB417" i="1"/>
  <c r="D418" i="1"/>
  <c r="H418" i="1"/>
  <c r="J418" i="1"/>
  <c r="K418" i="1"/>
  <c r="M418" i="1"/>
  <c r="P418" i="1"/>
  <c r="S418" i="1"/>
  <c r="T418" i="1" s="1"/>
  <c r="W418" i="1"/>
  <c r="X418" i="1"/>
  <c r="Y418" i="1" s="1"/>
  <c r="Z418" i="1" s="1"/>
  <c r="AB418" i="1"/>
  <c r="D419" i="1"/>
  <c r="S419" i="1" s="1"/>
  <c r="T419" i="1" s="1"/>
  <c r="H419" i="1"/>
  <c r="J419" i="1"/>
  <c r="K419" i="1"/>
  <c r="M419" i="1"/>
  <c r="P419" i="1"/>
  <c r="W419" i="1"/>
  <c r="X419" i="1"/>
  <c r="Y419" i="1"/>
  <c r="Z419" i="1"/>
  <c r="AB419" i="1"/>
  <c r="D420" i="1"/>
  <c r="H420" i="1"/>
  <c r="J420" i="1"/>
  <c r="K420" i="1"/>
  <c r="M420" i="1"/>
  <c r="P420" i="1"/>
  <c r="W420" i="1"/>
  <c r="X420" i="1"/>
  <c r="Y420" i="1" s="1"/>
  <c r="Z420" i="1" s="1"/>
  <c r="AB420" i="1"/>
  <c r="D421" i="1"/>
  <c r="H421" i="1"/>
  <c r="J421" i="1"/>
  <c r="K421" i="1"/>
  <c r="M421" i="1"/>
  <c r="P421" i="1"/>
  <c r="W421" i="1"/>
  <c r="X421" i="1"/>
  <c r="Y421" i="1" s="1"/>
  <c r="Z421" i="1" s="1"/>
  <c r="AB421" i="1"/>
  <c r="D422" i="1"/>
  <c r="Q422" i="1" s="1"/>
  <c r="H422" i="1"/>
  <c r="J422" i="1"/>
  <c r="K422" i="1"/>
  <c r="M422" i="1"/>
  <c r="P422" i="1"/>
  <c r="W422" i="1"/>
  <c r="X422" i="1"/>
  <c r="Y422" i="1"/>
  <c r="Z422" i="1" s="1"/>
  <c r="AB422" i="1"/>
  <c r="D423" i="1"/>
  <c r="Q423" i="1" s="1"/>
  <c r="H423" i="1"/>
  <c r="J423" i="1"/>
  <c r="K423" i="1"/>
  <c r="M423" i="1"/>
  <c r="P423" i="1"/>
  <c r="W423" i="1"/>
  <c r="X423" i="1"/>
  <c r="Y423" i="1"/>
  <c r="Z423" i="1"/>
  <c r="AB423" i="1"/>
  <c r="D424" i="1"/>
  <c r="H424" i="1"/>
  <c r="J424" i="1"/>
  <c r="K424" i="1"/>
  <c r="M424" i="1"/>
  <c r="P424" i="1"/>
  <c r="W424" i="1"/>
  <c r="X424" i="1"/>
  <c r="Y424" i="1" s="1"/>
  <c r="Z424" i="1" s="1"/>
  <c r="AB424" i="1"/>
  <c r="D425" i="1"/>
  <c r="H425" i="1"/>
  <c r="J425" i="1"/>
  <c r="K425" i="1"/>
  <c r="M425" i="1"/>
  <c r="P425" i="1"/>
  <c r="W425" i="1"/>
  <c r="X425" i="1"/>
  <c r="Y425" i="1" s="1"/>
  <c r="Z425" i="1" s="1"/>
  <c r="AB425" i="1"/>
  <c r="D426" i="1"/>
  <c r="H426" i="1"/>
  <c r="J426" i="1"/>
  <c r="K426" i="1"/>
  <c r="M426" i="1"/>
  <c r="S426" i="1"/>
  <c r="T426" i="1"/>
  <c r="W426" i="1"/>
  <c r="X426" i="1"/>
  <c r="Y426" i="1" s="1"/>
  <c r="Z426" i="1" s="1"/>
  <c r="AB426" i="1"/>
  <c r="D427" i="1"/>
  <c r="S427" i="1" s="1"/>
  <c r="T427" i="1" s="1"/>
  <c r="H427" i="1"/>
  <c r="J427" i="1"/>
  <c r="K427" i="1"/>
  <c r="M427" i="1"/>
  <c r="W427" i="1"/>
  <c r="X427" i="1"/>
  <c r="Y427" i="1" s="1"/>
  <c r="Z427" i="1" s="1"/>
  <c r="AB427" i="1"/>
  <c r="D428" i="1"/>
  <c r="S428" i="1" s="1"/>
  <c r="T428" i="1" s="1"/>
  <c r="H428" i="1"/>
  <c r="J428" i="1"/>
  <c r="K428" i="1"/>
  <c r="M428" i="1"/>
  <c r="W428" i="1"/>
  <c r="X428" i="1"/>
  <c r="Y428" i="1"/>
  <c r="Z428" i="1" s="1"/>
  <c r="AB428" i="1"/>
  <c r="T429" i="1"/>
  <c r="T430" i="1"/>
  <c r="T431" i="1"/>
  <c r="T432" i="1"/>
  <c r="T433" i="1"/>
  <c r="T434" i="1"/>
  <c r="D308" i="7" l="1"/>
  <c r="D306" i="7"/>
  <c r="D208" i="7"/>
  <c r="D100" i="7"/>
  <c r="C95" i="7"/>
  <c r="D80" i="7"/>
  <c r="C38" i="7"/>
  <c r="Q234" i="1"/>
  <c r="Q209" i="1"/>
  <c r="Q425" i="1"/>
  <c r="Q360" i="1"/>
  <c r="S340" i="1"/>
  <c r="T340" i="1" s="1"/>
  <c r="S287" i="1"/>
  <c r="T287" i="1" s="1"/>
  <c r="Q267" i="1"/>
  <c r="Q247" i="1"/>
  <c r="Q242" i="1"/>
  <c r="Q165" i="1"/>
  <c r="U303" i="1"/>
  <c r="Q323" i="1"/>
  <c r="Q312" i="1"/>
  <c r="Q301" i="1"/>
  <c r="Q217" i="1"/>
  <c r="Q212" i="1"/>
  <c r="Q192" i="1"/>
  <c r="Q155" i="1"/>
  <c r="Q135" i="1"/>
  <c r="Q130" i="1"/>
  <c r="Q420" i="1"/>
  <c r="Q401" i="1"/>
  <c r="S391" i="1"/>
  <c r="T391" i="1" s="1"/>
  <c r="Q379" i="1"/>
  <c r="S374" i="1"/>
  <c r="T374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Q347" i="1"/>
  <c r="Q274" i="1"/>
  <c r="Q197" i="1"/>
  <c r="Q154" i="1"/>
  <c r="Q149" i="1"/>
  <c r="Q129" i="1"/>
  <c r="Q105" i="1"/>
  <c r="Q100" i="1"/>
  <c r="Q410" i="1"/>
  <c r="Q381" i="1"/>
  <c r="Q378" i="1"/>
  <c r="Q349" i="1"/>
  <c r="Q346" i="1"/>
  <c r="Q336" i="1"/>
  <c r="Q325" i="1"/>
  <c r="Q283" i="1"/>
  <c r="Q249" i="1"/>
  <c r="Q244" i="1"/>
  <c r="Q224" i="1"/>
  <c r="Q187" i="1"/>
  <c r="Q167" i="1"/>
  <c r="Q162" i="1"/>
  <c r="S335" i="1"/>
  <c r="T335" i="1" s="1"/>
  <c r="S313" i="1"/>
  <c r="T313" i="1" s="1"/>
  <c r="S302" i="1"/>
  <c r="T302" i="1" s="1"/>
  <c r="U302" i="1" s="1"/>
  <c r="Q112" i="1"/>
  <c r="S380" i="1"/>
  <c r="T380" i="1" s="1"/>
  <c r="S348" i="1"/>
  <c r="T348" i="1" s="1"/>
  <c r="Q307" i="1"/>
  <c r="Q296" i="1"/>
  <c r="Q285" i="1"/>
  <c r="Q276" i="1"/>
  <c r="Q256" i="1"/>
  <c r="Q219" i="1"/>
  <c r="Q199" i="1"/>
  <c r="Q194" i="1"/>
  <c r="Q403" i="1"/>
  <c r="S399" i="1"/>
  <c r="T399" i="1" s="1"/>
  <c r="Q398" i="1"/>
  <c r="Q393" i="1"/>
  <c r="Q387" i="1"/>
  <c r="S382" i="1"/>
  <c r="T382" i="1" s="1"/>
  <c r="S367" i="1"/>
  <c r="T367" i="1" s="1"/>
  <c r="Q355" i="1"/>
  <c r="S350" i="1"/>
  <c r="T350" i="1" s="1"/>
  <c r="U350" i="1" s="1"/>
  <c r="U351" i="1" s="1"/>
  <c r="S337" i="1"/>
  <c r="T337" i="1" s="1"/>
  <c r="S326" i="1"/>
  <c r="T326" i="1" s="1"/>
  <c r="U326" i="1" s="1"/>
  <c r="U327" i="1" s="1"/>
  <c r="Q324" i="1"/>
  <c r="Q306" i="1"/>
  <c r="S295" i="1"/>
  <c r="T295" i="1" s="1"/>
  <c r="Q261" i="1"/>
  <c r="Q218" i="1"/>
  <c r="Q193" i="1"/>
  <c r="Q169" i="1"/>
  <c r="Q164" i="1"/>
  <c r="Q144" i="1"/>
  <c r="Q107" i="1"/>
  <c r="Q87" i="1"/>
  <c r="Q386" i="1"/>
  <c r="S369" i="1"/>
  <c r="T369" i="1" s="1"/>
  <c r="Q354" i="1"/>
  <c r="Q106" i="1"/>
  <c r="Q101" i="1"/>
  <c r="Q419" i="1"/>
  <c r="Q330" i="1"/>
  <c r="S319" i="1"/>
  <c r="T319" i="1" s="1"/>
  <c r="S297" i="1"/>
  <c r="T297" i="1" s="1"/>
  <c r="S286" i="1"/>
  <c r="T286" i="1" s="1"/>
  <c r="Q284" i="1"/>
  <c r="Q250" i="1"/>
  <c r="Q225" i="1"/>
  <c r="Q139" i="1"/>
  <c r="Q119" i="1"/>
  <c r="Q114" i="1"/>
  <c r="Q424" i="1"/>
  <c r="Q421" i="1"/>
  <c r="Q406" i="1"/>
  <c r="S388" i="1"/>
  <c r="T388" i="1" s="1"/>
  <c r="S356" i="1"/>
  <c r="T356" i="1" s="1"/>
  <c r="S343" i="1"/>
  <c r="T343" i="1" s="1"/>
  <c r="Q333" i="1"/>
  <c r="Q291" i="1"/>
  <c r="Q280" i="1"/>
  <c r="Q263" i="1"/>
  <c r="Q258" i="1"/>
  <c r="Q181" i="1"/>
  <c r="Q138" i="1"/>
  <c r="Q133" i="1"/>
  <c r="Q113" i="1"/>
  <c r="Q89" i="1"/>
  <c r="Q418" i="1"/>
  <c r="Q412" i="1"/>
  <c r="Q308" i="1"/>
  <c r="Q290" i="1"/>
  <c r="Q257" i="1"/>
  <c r="U279" i="1"/>
  <c r="S420" i="1"/>
  <c r="T420" i="1" s="1"/>
  <c r="S407" i="1"/>
  <c r="T407" i="1" s="1"/>
  <c r="S402" i="1"/>
  <c r="T402" i="1" s="1"/>
  <c r="S421" i="1"/>
  <c r="T421" i="1" s="1"/>
  <c r="S396" i="1"/>
  <c r="T396" i="1" s="1"/>
  <c r="S392" i="1"/>
  <c r="T392" i="1" s="1"/>
  <c r="S389" i="1"/>
  <c r="T389" i="1" s="1"/>
  <c r="S381" i="1"/>
  <c r="T381" i="1" s="1"/>
  <c r="S373" i="1"/>
  <c r="T373" i="1" s="1"/>
  <c r="S365" i="1"/>
  <c r="T365" i="1" s="1"/>
  <c r="S357" i="1"/>
  <c r="T357" i="1" s="1"/>
  <c r="S349" i="1"/>
  <c r="T349" i="1" s="1"/>
  <c r="S341" i="1"/>
  <c r="T341" i="1" s="1"/>
  <c r="S333" i="1"/>
  <c r="T333" i="1" s="1"/>
  <c r="S325" i="1"/>
  <c r="T325" i="1" s="1"/>
  <c r="S317" i="1"/>
  <c r="T317" i="1" s="1"/>
  <c r="U317" i="1" s="1"/>
  <c r="U318" i="1" s="1"/>
  <c r="S309" i="1"/>
  <c r="T309" i="1" s="1"/>
  <c r="S301" i="1"/>
  <c r="T301" i="1" s="1"/>
  <c r="S293" i="1"/>
  <c r="T293" i="1" s="1"/>
  <c r="U293" i="1" s="1"/>
  <c r="U294" i="1" s="1"/>
  <c r="U295" i="1" s="1"/>
  <c r="S285" i="1"/>
  <c r="T285" i="1" s="1"/>
  <c r="S422" i="1"/>
  <c r="T422" i="1" s="1"/>
  <c r="U422" i="1" s="1"/>
  <c r="U423" i="1" s="1"/>
  <c r="S408" i="1"/>
  <c r="T408" i="1" s="1"/>
  <c r="S423" i="1"/>
  <c r="T423" i="1" s="1"/>
  <c r="S409" i="1"/>
  <c r="T409" i="1" s="1"/>
  <c r="S397" i="1"/>
  <c r="T397" i="1" s="1"/>
  <c r="S384" i="1"/>
  <c r="T384" i="1" s="1"/>
  <c r="S376" i="1"/>
  <c r="T376" i="1" s="1"/>
  <c r="S368" i="1"/>
  <c r="T368" i="1" s="1"/>
  <c r="S360" i="1"/>
  <c r="T360" i="1" s="1"/>
  <c r="S352" i="1"/>
  <c r="T352" i="1" s="1"/>
  <c r="S344" i="1"/>
  <c r="T344" i="1" s="1"/>
  <c r="S336" i="1"/>
  <c r="T336" i="1" s="1"/>
  <c r="S328" i="1"/>
  <c r="T328" i="1" s="1"/>
  <c r="S320" i="1"/>
  <c r="T320" i="1" s="1"/>
  <c r="S312" i="1"/>
  <c r="T312" i="1" s="1"/>
  <c r="S304" i="1"/>
  <c r="T304" i="1" s="1"/>
  <c r="U304" i="1" s="1"/>
  <c r="U305" i="1" s="1"/>
  <c r="U306" i="1" s="1"/>
  <c r="S296" i="1"/>
  <c r="T296" i="1" s="1"/>
  <c r="S288" i="1"/>
  <c r="T288" i="1" s="1"/>
  <c r="S280" i="1"/>
  <c r="T280" i="1" s="1"/>
  <c r="S424" i="1"/>
  <c r="T424" i="1" s="1"/>
  <c r="S410" i="1"/>
  <c r="T410" i="1" s="1"/>
  <c r="U410" i="1" s="1"/>
  <c r="S403" i="1"/>
  <c r="T403" i="1" s="1"/>
  <c r="S425" i="1"/>
  <c r="T425" i="1" s="1"/>
  <c r="S411" i="1"/>
  <c r="T411" i="1" s="1"/>
  <c r="S398" i="1"/>
  <c r="T398" i="1" s="1"/>
  <c r="U398" i="1" s="1"/>
  <c r="U399" i="1" s="1"/>
  <c r="U400" i="1" s="1"/>
  <c r="U401" i="1" s="1"/>
  <c r="S393" i="1"/>
  <c r="T393" i="1" s="1"/>
  <c r="S387" i="1"/>
  <c r="T387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S379" i="1"/>
  <c r="T379" i="1" s="1"/>
  <c r="S371" i="1"/>
  <c r="T371" i="1" s="1"/>
  <c r="S363" i="1"/>
  <c r="T363" i="1" s="1"/>
  <c r="U363" i="1" s="1"/>
  <c r="U364" i="1" s="1"/>
  <c r="S355" i="1"/>
  <c r="T355" i="1" s="1"/>
  <c r="S347" i="1"/>
  <c r="T347" i="1" s="1"/>
  <c r="S339" i="1"/>
  <c r="T339" i="1" s="1"/>
  <c r="U339" i="1" s="1"/>
  <c r="U340" i="1" s="1"/>
  <c r="S331" i="1"/>
  <c r="T331" i="1" s="1"/>
  <c r="S323" i="1"/>
  <c r="T323" i="1" s="1"/>
  <c r="S315" i="1"/>
  <c r="T315" i="1" s="1"/>
  <c r="U315" i="1" s="1"/>
  <c r="U316" i="1" s="1"/>
  <c r="S307" i="1"/>
  <c r="T307" i="1" s="1"/>
  <c r="S299" i="1"/>
  <c r="T299" i="1" s="1"/>
  <c r="S291" i="1"/>
  <c r="T291" i="1" s="1"/>
  <c r="U291" i="1" s="1"/>
  <c r="U292" i="1" s="1"/>
  <c r="S283" i="1"/>
  <c r="T283" i="1" s="1"/>
  <c r="U352" i="1" l="1"/>
  <c r="U353" i="1" s="1"/>
  <c r="U354" i="1" s="1"/>
  <c r="U319" i="1"/>
  <c r="U328" i="1"/>
  <c r="U329" i="1" s="1"/>
  <c r="U330" i="1" s="1"/>
  <c r="U331" i="1" s="1"/>
  <c r="U332" i="1" s="1"/>
  <c r="U333" i="1" s="1"/>
  <c r="U334" i="1" s="1"/>
  <c r="U335" i="1" s="1"/>
  <c r="U336" i="1" s="1"/>
  <c r="U337" i="1" s="1"/>
  <c r="U424" i="1"/>
  <c r="U425" i="1" s="1"/>
  <c r="U426" i="1" s="1"/>
  <c r="U427" i="1" s="1"/>
  <c r="U428" i="1" s="1"/>
  <c r="U429" i="1" s="1"/>
  <c r="U430" i="1" s="1"/>
  <c r="U431" i="1" s="1"/>
  <c r="U432" i="1" s="1"/>
  <c r="U433" i="1" s="1"/>
  <c r="U296" i="1"/>
  <c r="U297" i="1" s="1"/>
  <c r="U298" i="1" s="1"/>
  <c r="U299" i="1" s="1"/>
  <c r="U300" i="1" s="1"/>
  <c r="U301" i="1" s="1"/>
  <c r="U341" i="1"/>
  <c r="U342" i="1" s="1"/>
  <c r="U343" i="1" s="1"/>
  <c r="U355" i="1"/>
  <c r="U356" i="1" s="1"/>
  <c r="U344" i="1"/>
  <c r="U345" i="1" s="1"/>
  <c r="U346" i="1" s="1"/>
  <c r="U347" i="1" s="1"/>
  <c r="U348" i="1" s="1"/>
  <c r="U349" i="1" s="1"/>
  <c r="U357" i="1"/>
  <c r="U358" i="1" s="1"/>
  <c r="U359" i="1" s="1"/>
  <c r="U360" i="1" s="1"/>
  <c r="U361" i="1" s="1"/>
  <c r="U411" i="1"/>
  <c r="U412" i="1" s="1"/>
  <c r="U413" i="1" s="1"/>
  <c r="U414" i="1" s="1"/>
  <c r="U415" i="1" s="1"/>
  <c r="U416" i="1" s="1"/>
  <c r="U417" i="1" s="1"/>
  <c r="U418" i="1" s="1"/>
  <c r="U419" i="1" s="1"/>
  <c r="U420" i="1" s="1"/>
  <c r="U421" i="1" s="1"/>
  <c r="U320" i="1"/>
  <c r="U321" i="1" s="1"/>
  <c r="U322" i="1" s="1"/>
  <c r="U323" i="1" s="1"/>
  <c r="U324" i="1" s="1"/>
  <c r="U325" i="1" s="1"/>
  <c r="U365" i="1"/>
  <c r="U366" i="1" s="1"/>
  <c r="U367" i="1" s="1"/>
  <c r="U307" i="1"/>
  <c r="U308" i="1" s="1"/>
  <c r="U309" i="1" s="1"/>
  <c r="U310" i="1" s="1"/>
  <c r="U311" i="1" s="1"/>
  <c r="U312" i="1" s="1"/>
  <c r="U313" i="1" s="1"/>
  <c r="U402" i="1"/>
  <c r="U403" i="1" s="1"/>
  <c r="U404" i="1" s="1"/>
  <c r="U405" i="1" s="1"/>
  <c r="U406" i="1" s="1"/>
  <c r="U407" i="1" s="1"/>
  <c r="U408" i="1" s="1"/>
  <c r="U409" i="1" s="1"/>
  <c r="U368" i="1"/>
  <c r="U369" i="1" s="1"/>
  <c r="U370" i="1" s="1"/>
  <c r="U371" i="1" s="1"/>
  <c r="U372" i="1" s="1"/>
  <c r="U373" i="1" s="1"/>
  <c r="U280" i="1"/>
  <c r="U281" i="1" s="1"/>
  <c r="U282" i="1" s="1"/>
  <c r="U283" i="1" s="1"/>
  <c r="U284" i="1" s="1"/>
  <c r="U285" i="1" s="1"/>
  <c r="U286" i="1" s="1"/>
  <c r="U287" i="1" s="1"/>
  <c r="U288" i="1" s="1"/>
  <c r="U289" i="1" s="1"/>
  <c r="C271" i="7"/>
  <c r="D269" i="7"/>
  <c r="C269" i="7" s="1"/>
  <c r="D268" i="7" s="1"/>
  <c r="D271" i="7"/>
  <c r="D270" i="7" l="1"/>
  <c r="C270" i="7"/>
</calcChain>
</file>

<file path=xl/sharedStrings.xml><?xml version="1.0" encoding="utf-8"?>
<sst xmlns="http://schemas.openxmlformats.org/spreadsheetml/2006/main" count="32" uniqueCount="32">
  <si>
    <t>Month/ Year</t>
  </si>
  <si>
    <t># Days in Month</t>
  </si>
  <si>
    <t>Total Disposed Water Volume</t>
  </si>
  <si>
    <t>Average Monthly Disposal</t>
  </si>
  <si>
    <t>Active # Leases</t>
  </si>
  <si>
    <t>Monthly Shortfall Volume</t>
  </si>
  <si>
    <t>Field Wide All Factor</t>
  </si>
  <si>
    <t>Metered Water Volume (BPMo.) Reported</t>
  </si>
  <si>
    <t>Metered Water Vol (BPD)</t>
  </si>
  <si>
    <t>% of Disposal Water Metered</t>
  </si>
  <si>
    <t># of Leases Metered</t>
  </si>
  <si>
    <t>% of Active Leases Metered</t>
  </si>
  <si>
    <t>Oil Production BPMo</t>
  </si>
  <si>
    <t>Oil Production BPD</t>
  </si>
  <si>
    <t>WOR</t>
  </si>
  <si>
    <t>Approved Budget</t>
  </si>
  <si>
    <t>Volume Variance (BPD)</t>
  </si>
  <si>
    <t>Income Variance ($/Mo.)</t>
  </si>
  <si>
    <t>Cumulative Income Variance</t>
  </si>
  <si>
    <t>East Texas Sweet Average Oil Price</t>
  </si>
  <si>
    <t>Non-Woodbine Water after alloc. (BBLS)</t>
  </si>
  <si>
    <t>BASA Reported Volume</t>
  </si>
  <si>
    <t>BASA % of Reported Volume</t>
  </si>
  <si>
    <t>BASA Reported BPD Volume</t>
  </si>
  <si>
    <t>Difference from Baseline</t>
  </si>
  <si>
    <t>$ Discount Proposal</t>
  </si>
  <si>
    <t>BASA % of Total Including Allocation</t>
  </si>
  <si>
    <t>BASA Total Allocated Volume</t>
  </si>
  <si>
    <t>Total Water Volume</t>
  </si>
  <si>
    <t>Date</t>
  </si>
  <si>
    <t>Diff</t>
  </si>
  <si>
    <t>Forward-Backward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</si>
</sst>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#,##0.00000"/>
    <numFmt numFmtId="166" formatCode="0.0%"/>
    <numFmt numFmtId="167" formatCode="0.00;[Red]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 wrapText="1"/>
    </xf>
    <xf numFmtId="0" fontId="4" fillId="0" borderId="0" xfId="0" applyFont="1"/>
    <xf numFmtId="164" fontId="0" fillId="0" borderId="0" xfId="0" quotePrefix="1" applyNumberForma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3" fontId="5" fillId="0" borderId="0" xfId="0" applyNumberFormat="1" applyFont="1" applyAlignment="1">
      <alignment horizontal="right" wrapText="1"/>
    </xf>
    <xf numFmtId="3" fontId="4" fillId="0" borderId="0" xfId="0" applyNumberFormat="1" applyFont="1"/>
    <xf numFmtId="2" fontId="4" fillId="0" borderId="0" xfId="0" applyNumberFormat="1" applyFont="1"/>
    <xf numFmtId="2" fontId="0" fillId="0" borderId="0" xfId="0" applyNumberFormat="1"/>
    <xf numFmtId="3" fontId="6" fillId="0" borderId="0" xfId="0" applyNumberFormat="1" applyFont="1" applyAlignment="1">
      <alignment horizontal="right" wrapText="1"/>
    </xf>
    <xf numFmtId="165" fontId="4" fillId="0" borderId="0" xfId="0" applyNumberFormat="1" applyFont="1"/>
    <xf numFmtId="10" fontId="4" fillId="0" borderId="0" xfId="0" applyNumberFormat="1" applyFont="1"/>
    <xf numFmtId="3" fontId="6" fillId="0" borderId="0" xfId="0" applyNumberFormat="1" applyFont="1"/>
    <xf numFmtId="3" fontId="5" fillId="0" borderId="0" xfId="0" applyNumberFormat="1" applyFont="1" applyAlignment="1">
      <alignment horizontal="right" vertical="center" wrapText="1"/>
    </xf>
    <xf numFmtId="44" fontId="0" fillId="0" borderId="0" xfId="0" applyNumberFormat="1"/>
    <xf numFmtId="0" fontId="7" fillId="0" borderId="0" xfId="0" applyFont="1" applyAlignment="1">
      <alignment horizontal="center"/>
    </xf>
    <xf numFmtId="3" fontId="4" fillId="0" borderId="0" xfId="2" applyNumberFormat="1" applyFont="1"/>
    <xf numFmtId="2" fontId="4" fillId="0" borderId="0" xfId="3" applyNumberFormat="1" applyFont="1"/>
    <xf numFmtId="4" fontId="4" fillId="0" borderId="0" xfId="3" applyNumberFormat="1" applyFont="1"/>
    <xf numFmtId="44" fontId="1" fillId="0" borderId="0" xfId="1" applyFont="1" applyFill="1" applyBorder="1"/>
    <xf numFmtId="44" fontId="4" fillId="0" borderId="0" xfId="0" applyNumberFormat="1" applyFont="1"/>
    <xf numFmtId="3" fontId="4" fillId="0" borderId="0" xfId="5" applyNumberFormat="1" applyFont="1" applyFill="1" applyBorder="1"/>
    <xf numFmtId="10" fontId="0" fillId="0" borderId="0" xfId="6" applyNumberFormat="1" applyFont="1"/>
    <xf numFmtId="1" fontId="7" fillId="0" borderId="0" xfId="0" applyNumberFormat="1" applyFont="1" applyAlignment="1">
      <alignment horizontal="center"/>
    </xf>
    <xf numFmtId="1" fontId="0" fillId="0" borderId="0" xfId="0" applyNumberFormat="1"/>
    <xf numFmtId="1" fontId="4" fillId="0" borderId="0" xfId="0" applyNumberFormat="1" applyFont="1"/>
    <xf numFmtId="166" fontId="0" fillId="0" borderId="0" xfId="6" applyNumberFormat="1" applyFont="1"/>
    <xf numFmtId="167" fontId="0" fillId="0" borderId="0" xfId="0" applyNumberFormat="1"/>
  </cellXfs>
  <cellStyles count="7">
    <cellStyle name="Comma" xfId="5" builtinId="3"/>
    <cellStyle name="Currency" xfId="1" builtinId="4"/>
    <cellStyle name="Normal" xfId="0" builtinId="0"/>
    <cellStyle name="Normal 2" xfId="4" xr:uid="{3F2A9CDC-339C-4830-9903-1778DD7908F6}"/>
    <cellStyle name="Normal 3" xfId="2" xr:uid="{2D96B738-4CDD-4958-A881-A3D9EF18AF9C}"/>
    <cellStyle name="Normal 4" xfId="3" xr:uid="{A31AE9F2-ED5F-4F42-A89F-70B91660E77E}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chartsheet" Target="chartsheets/sheet3.xml"/><Relationship Id="rId10" Type="http://schemas.openxmlformats.org/officeDocument/2006/relationships/customXml" Target="../customXml/item1.xml"/><Relationship Id="rId4" Type="http://schemas.openxmlformats.org/officeDocument/2006/relationships/chartsheet" Target="chart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East</a:t>
            </a:r>
            <a:r>
              <a:rPr lang="en-US" baseline="0"/>
              <a:t> Texas Field</a:t>
            </a:r>
          </a:p>
          <a:p>
            <a:pPr>
              <a:defRPr/>
            </a:pPr>
            <a:r>
              <a:rPr lang="en-US" baseline="0"/>
              <a:t>Oil Decline &amp; WOR vs. Sunoco "East Texas Sweet" Oil Price</a:t>
            </a:r>
            <a:endParaRPr lang="en-US"/>
          </a:p>
        </c:rich>
      </c:tx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Oil Production BPD</c:v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'Input Data'!$A$2:$A$434</c:f>
              <c:numCache>
                <c:formatCode>[$-409]mmm\-yy;@</c:formatCode>
                <c:ptCount val="433"/>
                <c:pt idx="0">
                  <c:v>33239</c:v>
                </c:pt>
                <c:pt idx="1">
                  <c:v>33270</c:v>
                </c:pt>
                <c:pt idx="2">
                  <c:v>33298</c:v>
                </c:pt>
                <c:pt idx="3">
                  <c:v>33329</c:v>
                </c:pt>
                <c:pt idx="4">
                  <c:v>33359</c:v>
                </c:pt>
                <c:pt idx="5">
                  <c:v>33390</c:v>
                </c:pt>
                <c:pt idx="6">
                  <c:v>33420</c:v>
                </c:pt>
                <c:pt idx="7">
                  <c:v>33451</c:v>
                </c:pt>
                <c:pt idx="8">
                  <c:v>33482</c:v>
                </c:pt>
                <c:pt idx="9">
                  <c:v>33512</c:v>
                </c:pt>
                <c:pt idx="10">
                  <c:v>33543</c:v>
                </c:pt>
                <c:pt idx="11">
                  <c:v>33573</c:v>
                </c:pt>
                <c:pt idx="12">
                  <c:v>33604</c:v>
                </c:pt>
                <c:pt idx="13">
                  <c:v>33635</c:v>
                </c:pt>
                <c:pt idx="14">
                  <c:v>33664</c:v>
                </c:pt>
                <c:pt idx="15">
                  <c:v>33695</c:v>
                </c:pt>
                <c:pt idx="16">
                  <c:v>33725</c:v>
                </c:pt>
                <c:pt idx="17">
                  <c:v>33756</c:v>
                </c:pt>
                <c:pt idx="18">
                  <c:v>33786</c:v>
                </c:pt>
                <c:pt idx="19">
                  <c:v>33817</c:v>
                </c:pt>
                <c:pt idx="20">
                  <c:v>33848</c:v>
                </c:pt>
                <c:pt idx="21">
                  <c:v>33878</c:v>
                </c:pt>
                <c:pt idx="22">
                  <c:v>33909</c:v>
                </c:pt>
                <c:pt idx="23">
                  <c:v>33939</c:v>
                </c:pt>
                <c:pt idx="24">
                  <c:v>33970</c:v>
                </c:pt>
                <c:pt idx="25">
                  <c:v>34001</c:v>
                </c:pt>
                <c:pt idx="26">
                  <c:v>34029</c:v>
                </c:pt>
                <c:pt idx="27">
                  <c:v>34060</c:v>
                </c:pt>
                <c:pt idx="28">
                  <c:v>34090</c:v>
                </c:pt>
                <c:pt idx="29">
                  <c:v>34121</c:v>
                </c:pt>
                <c:pt idx="30">
                  <c:v>34151</c:v>
                </c:pt>
                <c:pt idx="31">
                  <c:v>34182</c:v>
                </c:pt>
                <c:pt idx="32">
                  <c:v>34213</c:v>
                </c:pt>
                <c:pt idx="33">
                  <c:v>34243</c:v>
                </c:pt>
                <c:pt idx="34">
                  <c:v>34274</c:v>
                </c:pt>
                <c:pt idx="35">
                  <c:v>34304</c:v>
                </c:pt>
                <c:pt idx="36">
                  <c:v>34335</c:v>
                </c:pt>
                <c:pt idx="37">
                  <c:v>34366</c:v>
                </c:pt>
                <c:pt idx="38">
                  <c:v>34394</c:v>
                </c:pt>
                <c:pt idx="39">
                  <c:v>34425</c:v>
                </c:pt>
                <c:pt idx="40">
                  <c:v>34455</c:v>
                </c:pt>
                <c:pt idx="41">
                  <c:v>34486</c:v>
                </c:pt>
                <c:pt idx="42">
                  <c:v>34516</c:v>
                </c:pt>
                <c:pt idx="43">
                  <c:v>34547</c:v>
                </c:pt>
                <c:pt idx="44">
                  <c:v>34578</c:v>
                </c:pt>
                <c:pt idx="45">
                  <c:v>34608</c:v>
                </c:pt>
                <c:pt idx="46">
                  <c:v>34639</c:v>
                </c:pt>
                <c:pt idx="47">
                  <c:v>34669</c:v>
                </c:pt>
                <c:pt idx="48">
                  <c:v>34700</c:v>
                </c:pt>
                <c:pt idx="49">
                  <c:v>34731</c:v>
                </c:pt>
                <c:pt idx="50">
                  <c:v>34759</c:v>
                </c:pt>
                <c:pt idx="51">
                  <c:v>34790</c:v>
                </c:pt>
                <c:pt idx="52">
                  <c:v>34820</c:v>
                </c:pt>
                <c:pt idx="53">
                  <c:v>34851</c:v>
                </c:pt>
                <c:pt idx="54">
                  <c:v>34881</c:v>
                </c:pt>
                <c:pt idx="55">
                  <c:v>34912</c:v>
                </c:pt>
                <c:pt idx="56">
                  <c:v>34943</c:v>
                </c:pt>
                <c:pt idx="57">
                  <c:v>34973</c:v>
                </c:pt>
                <c:pt idx="58">
                  <c:v>35004</c:v>
                </c:pt>
                <c:pt idx="59">
                  <c:v>35034</c:v>
                </c:pt>
                <c:pt idx="60">
                  <c:v>35065</c:v>
                </c:pt>
                <c:pt idx="61">
                  <c:v>35096</c:v>
                </c:pt>
                <c:pt idx="62">
                  <c:v>35125</c:v>
                </c:pt>
                <c:pt idx="63">
                  <c:v>35156</c:v>
                </c:pt>
                <c:pt idx="64">
                  <c:v>35186</c:v>
                </c:pt>
                <c:pt idx="65">
                  <c:v>35217</c:v>
                </c:pt>
                <c:pt idx="66">
                  <c:v>35247</c:v>
                </c:pt>
                <c:pt idx="67">
                  <c:v>35278</c:v>
                </c:pt>
                <c:pt idx="68">
                  <c:v>35309</c:v>
                </c:pt>
                <c:pt idx="69">
                  <c:v>35339</c:v>
                </c:pt>
                <c:pt idx="70">
                  <c:v>35370</c:v>
                </c:pt>
                <c:pt idx="71">
                  <c:v>35400</c:v>
                </c:pt>
                <c:pt idx="72">
                  <c:v>35431</c:v>
                </c:pt>
                <c:pt idx="73">
                  <c:v>35462</c:v>
                </c:pt>
                <c:pt idx="74">
                  <c:v>35490</c:v>
                </c:pt>
                <c:pt idx="75">
                  <c:v>35521</c:v>
                </c:pt>
                <c:pt idx="76">
                  <c:v>35551</c:v>
                </c:pt>
                <c:pt idx="77">
                  <c:v>35582</c:v>
                </c:pt>
                <c:pt idx="78">
                  <c:v>35612</c:v>
                </c:pt>
                <c:pt idx="79">
                  <c:v>35643</c:v>
                </c:pt>
                <c:pt idx="80">
                  <c:v>35674</c:v>
                </c:pt>
                <c:pt idx="81">
                  <c:v>35704</c:v>
                </c:pt>
                <c:pt idx="82">
                  <c:v>35735</c:v>
                </c:pt>
                <c:pt idx="83">
                  <c:v>35765</c:v>
                </c:pt>
                <c:pt idx="84">
                  <c:v>35796</c:v>
                </c:pt>
                <c:pt idx="85">
                  <c:v>35827</c:v>
                </c:pt>
                <c:pt idx="86">
                  <c:v>35855</c:v>
                </c:pt>
                <c:pt idx="87">
                  <c:v>35886</c:v>
                </c:pt>
                <c:pt idx="88">
                  <c:v>35916</c:v>
                </c:pt>
                <c:pt idx="89">
                  <c:v>35947</c:v>
                </c:pt>
                <c:pt idx="90">
                  <c:v>35977</c:v>
                </c:pt>
                <c:pt idx="91">
                  <c:v>36008</c:v>
                </c:pt>
                <c:pt idx="92">
                  <c:v>36039</c:v>
                </c:pt>
                <c:pt idx="93">
                  <c:v>36069</c:v>
                </c:pt>
                <c:pt idx="94">
                  <c:v>36100</c:v>
                </c:pt>
                <c:pt idx="95">
                  <c:v>36130</c:v>
                </c:pt>
                <c:pt idx="96">
                  <c:v>36161</c:v>
                </c:pt>
                <c:pt idx="97">
                  <c:v>36192</c:v>
                </c:pt>
                <c:pt idx="98">
                  <c:v>36220</c:v>
                </c:pt>
                <c:pt idx="99">
                  <c:v>36251</c:v>
                </c:pt>
                <c:pt idx="100">
                  <c:v>36281</c:v>
                </c:pt>
                <c:pt idx="101">
                  <c:v>36312</c:v>
                </c:pt>
                <c:pt idx="102">
                  <c:v>36342</c:v>
                </c:pt>
                <c:pt idx="103">
                  <c:v>36373</c:v>
                </c:pt>
                <c:pt idx="104">
                  <c:v>36404</c:v>
                </c:pt>
                <c:pt idx="105">
                  <c:v>36434</c:v>
                </c:pt>
                <c:pt idx="106">
                  <c:v>36465</c:v>
                </c:pt>
                <c:pt idx="107">
                  <c:v>36495</c:v>
                </c:pt>
                <c:pt idx="108">
                  <c:v>36526</c:v>
                </c:pt>
                <c:pt idx="109">
                  <c:v>36557</c:v>
                </c:pt>
                <c:pt idx="110">
                  <c:v>36586</c:v>
                </c:pt>
                <c:pt idx="111">
                  <c:v>36617</c:v>
                </c:pt>
                <c:pt idx="112">
                  <c:v>36647</c:v>
                </c:pt>
                <c:pt idx="113">
                  <c:v>36678</c:v>
                </c:pt>
                <c:pt idx="114">
                  <c:v>36708</c:v>
                </c:pt>
                <c:pt idx="115">
                  <c:v>36739</c:v>
                </c:pt>
                <c:pt idx="116">
                  <c:v>36770</c:v>
                </c:pt>
                <c:pt idx="117">
                  <c:v>36800</c:v>
                </c:pt>
                <c:pt idx="118">
                  <c:v>36831</c:v>
                </c:pt>
                <c:pt idx="119">
                  <c:v>36861</c:v>
                </c:pt>
                <c:pt idx="120">
                  <c:v>36892</c:v>
                </c:pt>
                <c:pt idx="121">
                  <c:v>36923</c:v>
                </c:pt>
                <c:pt idx="122">
                  <c:v>36951</c:v>
                </c:pt>
                <c:pt idx="123">
                  <c:v>36982</c:v>
                </c:pt>
                <c:pt idx="124">
                  <c:v>37012</c:v>
                </c:pt>
                <c:pt idx="125">
                  <c:v>37043</c:v>
                </c:pt>
                <c:pt idx="126">
                  <c:v>37073</c:v>
                </c:pt>
                <c:pt idx="127">
                  <c:v>37104</c:v>
                </c:pt>
                <c:pt idx="128">
                  <c:v>37135</c:v>
                </c:pt>
                <c:pt idx="129">
                  <c:v>37165</c:v>
                </c:pt>
                <c:pt idx="130">
                  <c:v>37196</c:v>
                </c:pt>
                <c:pt idx="131">
                  <c:v>37226</c:v>
                </c:pt>
                <c:pt idx="132">
                  <c:v>37257</c:v>
                </c:pt>
                <c:pt idx="133">
                  <c:v>37288</c:v>
                </c:pt>
                <c:pt idx="134">
                  <c:v>37316</c:v>
                </c:pt>
                <c:pt idx="135">
                  <c:v>37347</c:v>
                </c:pt>
                <c:pt idx="136">
                  <c:v>37377</c:v>
                </c:pt>
                <c:pt idx="137">
                  <c:v>37408</c:v>
                </c:pt>
                <c:pt idx="138">
                  <c:v>37438</c:v>
                </c:pt>
                <c:pt idx="139">
                  <c:v>37469</c:v>
                </c:pt>
                <c:pt idx="140">
                  <c:v>37500</c:v>
                </c:pt>
                <c:pt idx="141">
                  <c:v>37530</c:v>
                </c:pt>
                <c:pt idx="142">
                  <c:v>37561</c:v>
                </c:pt>
                <c:pt idx="143">
                  <c:v>37591</c:v>
                </c:pt>
                <c:pt idx="144">
                  <c:v>37622</c:v>
                </c:pt>
                <c:pt idx="145">
                  <c:v>37653</c:v>
                </c:pt>
                <c:pt idx="146">
                  <c:v>37681</c:v>
                </c:pt>
                <c:pt idx="147">
                  <c:v>37712</c:v>
                </c:pt>
                <c:pt idx="148">
                  <c:v>37742</c:v>
                </c:pt>
                <c:pt idx="149">
                  <c:v>37773</c:v>
                </c:pt>
                <c:pt idx="150">
                  <c:v>37803</c:v>
                </c:pt>
                <c:pt idx="151">
                  <c:v>37834</c:v>
                </c:pt>
                <c:pt idx="152">
                  <c:v>37865</c:v>
                </c:pt>
                <c:pt idx="153">
                  <c:v>37895</c:v>
                </c:pt>
                <c:pt idx="154">
                  <c:v>37926</c:v>
                </c:pt>
                <c:pt idx="155">
                  <c:v>37956</c:v>
                </c:pt>
                <c:pt idx="156">
                  <c:v>37987</c:v>
                </c:pt>
                <c:pt idx="157">
                  <c:v>38018</c:v>
                </c:pt>
                <c:pt idx="158">
                  <c:v>38047</c:v>
                </c:pt>
                <c:pt idx="159">
                  <c:v>38078</c:v>
                </c:pt>
                <c:pt idx="160">
                  <c:v>38108</c:v>
                </c:pt>
                <c:pt idx="161">
                  <c:v>38139</c:v>
                </c:pt>
                <c:pt idx="162">
                  <c:v>38169</c:v>
                </c:pt>
                <c:pt idx="163">
                  <c:v>38200</c:v>
                </c:pt>
                <c:pt idx="164">
                  <c:v>38231</c:v>
                </c:pt>
                <c:pt idx="165">
                  <c:v>38261</c:v>
                </c:pt>
                <c:pt idx="166">
                  <c:v>38292</c:v>
                </c:pt>
                <c:pt idx="167">
                  <c:v>38322</c:v>
                </c:pt>
                <c:pt idx="168">
                  <c:v>38353</c:v>
                </c:pt>
                <c:pt idx="169">
                  <c:v>38384</c:v>
                </c:pt>
                <c:pt idx="170">
                  <c:v>38412</c:v>
                </c:pt>
                <c:pt idx="171">
                  <c:v>38443</c:v>
                </c:pt>
                <c:pt idx="172">
                  <c:v>38473</c:v>
                </c:pt>
                <c:pt idx="173">
                  <c:v>38504</c:v>
                </c:pt>
                <c:pt idx="174">
                  <c:v>38534</c:v>
                </c:pt>
                <c:pt idx="175">
                  <c:v>38565</c:v>
                </c:pt>
                <c:pt idx="176">
                  <c:v>38596</c:v>
                </c:pt>
                <c:pt idx="177">
                  <c:v>38626</c:v>
                </c:pt>
                <c:pt idx="178">
                  <c:v>38657</c:v>
                </c:pt>
                <c:pt idx="179">
                  <c:v>38687</c:v>
                </c:pt>
                <c:pt idx="180">
                  <c:v>38718</c:v>
                </c:pt>
                <c:pt idx="181">
                  <c:v>38749</c:v>
                </c:pt>
                <c:pt idx="182">
                  <c:v>38777</c:v>
                </c:pt>
                <c:pt idx="183">
                  <c:v>38808</c:v>
                </c:pt>
                <c:pt idx="184">
                  <c:v>38838</c:v>
                </c:pt>
                <c:pt idx="185">
                  <c:v>38869</c:v>
                </c:pt>
                <c:pt idx="186">
                  <c:v>38899</c:v>
                </c:pt>
                <c:pt idx="187">
                  <c:v>38930</c:v>
                </c:pt>
                <c:pt idx="188">
                  <c:v>38961</c:v>
                </c:pt>
                <c:pt idx="189">
                  <c:v>38991</c:v>
                </c:pt>
                <c:pt idx="190">
                  <c:v>39022</c:v>
                </c:pt>
                <c:pt idx="191">
                  <c:v>39052</c:v>
                </c:pt>
                <c:pt idx="192">
                  <c:v>39083</c:v>
                </c:pt>
                <c:pt idx="193">
                  <c:v>39114</c:v>
                </c:pt>
                <c:pt idx="194">
                  <c:v>39142</c:v>
                </c:pt>
                <c:pt idx="195">
                  <c:v>39173</c:v>
                </c:pt>
                <c:pt idx="196">
                  <c:v>39203</c:v>
                </c:pt>
                <c:pt idx="197">
                  <c:v>39234</c:v>
                </c:pt>
                <c:pt idx="198">
                  <c:v>39264</c:v>
                </c:pt>
                <c:pt idx="199">
                  <c:v>39295</c:v>
                </c:pt>
                <c:pt idx="200">
                  <c:v>39326</c:v>
                </c:pt>
                <c:pt idx="201">
                  <c:v>39356</c:v>
                </c:pt>
                <c:pt idx="202">
                  <c:v>39387</c:v>
                </c:pt>
                <c:pt idx="203">
                  <c:v>39417</c:v>
                </c:pt>
                <c:pt idx="204">
                  <c:v>39448</c:v>
                </c:pt>
                <c:pt idx="205">
                  <c:v>39479</c:v>
                </c:pt>
                <c:pt idx="206">
                  <c:v>39508</c:v>
                </c:pt>
                <c:pt idx="207">
                  <c:v>39539</c:v>
                </c:pt>
                <c:pt idx="208">
                  <c:v>39569</c:v>
                </c:pt>
                <c:pt idx="209">
                  <c:v>39600</c:v>
                </c:pt>
                <c:pt idx="210">
                  <c:v>39630</c:v>
                </c:pt>
                <c:pt idx="211">
                  <c:v>39661</c:v>
                </c:pt>
                <c:pt idx="212">
                  <c:v>39692</c:v>
                </c:pt>
                <c:pt idx="213">
                  <c:v>39722</c:v>
                </c:pt>
                <c:pt idx="214">
                  <c:v>39753</c:v>
                </c:pt>
                <c:pt idx="215">
                  <c:v>39783</c:v>
                </c:pt>
                <c:pt idx="216">
                  <c:v>39814</c:v>
                </c:pt>
                <c:pt idx="217">
                  <c:v>39845</c:v>
                </c:pt>
                <c:pt idx="218">
                  <c:v>39873</c:v>
                </c:pt>
                <c:pt idx="219">
                  <c:v>39904</c:v>
                </c:pt>
                <c:pt idx="220">
                  <c:v>39934</c:v>
                </c:pt>
                <c:pt idx="221">
                  <c:v>39965</c:v>
                </c:pt>
                <c:pt idx="222">
                  <c:v>39995</c:v>
                </c:pt>
                <c:pt idx="223">
                  <c:v>40026</c:v>
                </c:pt>
                <c:pt idx="224">
                  <c:v>40057</c:v>
                </c:pt>
                <c:pt idx="225">
                  <c:v>40087</c:v>
                </c:pt>
                <c:pt idx="226">
                  <c:v>40118</c:v>
                </c:pt>
                <c:pt idx="227">
                  <c:v>40148</c:v>
                </c:pt>
                <c:pt idx="228">
                  <c:v>40179</c:v>
                </c:pt>
                <c:pt idx="229">
                  <c:v>40210</c:v>
                </c:pt>
                <c:pt idx="230">
                  <c:v>40238</c:v>
                </c:pt>
                <c:pt idx="231">
                  <c:v>40269</c:v>
                </c:pt>
                <c:pt idx="232">
                  <c:v>40299</c:v>
                </c:pt>
                <c:pt idx="233">
                  <c:v>40330</c:v>
                </c:pt>
                <c:pt idx="234">
                  <c:v>40360</c:v>
                </c:pt>
                <c:pt idx="235">
                  <c:v>40391</c:v>
                </c:pt>
                <c:pt idx="236">
                  <c:v>40422</c:v>
                </c:pt>
                <c:pt idx="237">
                  <c:v>40452</c:v>
                </c:pt>
                <c:pt idx="238">
                  <c:v>40483</c:v>
                </c:pt>
                <c:pt idx="239">
                  <c:v>40513</c:v>
                </c:pt>
                <c:pt idx="240">
                  <c:v>40544</c:v>
                </c:pt>
                <c:pt idx="241">
                  <c:v>40575</c:v>
                </c:pt>
                <c:pt idx="242">
                  <c:v>40603</c:v>
                </c:pt>
                <c:pt idx="243">
                  <c:v>40634</c:v>
                </c:pt>
                <c:pt idx="244">
                  <c:v>40664</c:v>
                </c:pt>
                <c:pt idx="245">
                  <c:v>40695</c:v>
                </c:pt>
                <c:pt idx="246">
                  <c:v>40725</c:v>
                </c:pt>
                <c:pt idx="247">
                  <c:v>40756</c:v>
                </c:pt>
                <c:pt idx="248">
                  <c:v>40787</c:v>
                </c:pt>
                <c:pt idx="249">
                  <c:v>40817</c:v>
                </c:pt>
                <c:pt idx="250">
                  <c:v>40848</c:v>
                </c:pt>
                <c:pt idx="251">
                  <c:v>40878</c:v>
                </c:pt>
                <c:pt idx="252">
                  <c:v>40909</c:v>
                </c:pt>
                <c:pt idx="253">
                  <c:v>40940</c:v>
                </c:pt>
                <c:pt idx="254">
                  <c:v>40969</c:v>
                </c:pt>
                <c:pt idx="255">
                  <c:v>41000</c:v>
                </c:pt>
                <c:pt idx="256">
                  <c:v>41030</c:v>
                </c:pt>
                <c:pt idx="257">
                  <c:v>41061</c:v>
                </c:pt>
                <c:pt idx="258">
                  <c:v>41091</c:v>
                </c:pt>
                <c:pt idx="259">
                  <c:v>41122</c:v>
                </c:pt>
                <c:pt idx="260">
                  <c:v>41153</c:v>
                </c:pt>
                <c:pt idx="261">
                  <c:v>41183</c:v>
                </c:pt>
                <c:pt idx="262">
                  <c:v>41214</c:v>
                </c:pt>
                <c:pt idx="263">
                  <c:v>41244</c:v>
                </c:pt>
                <c:pt idx="264">
                  <c:v>41275</c:v>
                </c:pt>
                <c:pt idx="265">
                  <c:v>41306</c:v>
                </c:pt>
                <c:pt idx="266">
                  <c:v>41334</c:v>
                </c:pt>
                <c:pt idx="267">
                  <c:v>41365</c:v>
                </c:pt>
                <c:pt idx="268">
                  <c:v>41395</c:v>
                </c:pt>
                <c:pt idx="269">
                  <c:v>41426</c:v>
                </c:pt>
                <c:pt idx="270">
                  <c:v>41456</c:v>
                </c:pt>
                <c:pt idx="271">
                  <c:v>41487</c:v>
                </c:pt>
                <c:pt idx="272">
                  <c:v>41518</c:v>
                </c:pt>
                <c:pt idx="273">
                  <c:v>41548</c:v>
                </c:pt>
                <c:pt idx="274">
                  <c:v>41579</c:v>
                </c:pt>
                <c:pt idx="275">
                  <c:v>41609</c:v>
                </c:pt>
                <c:pt idx="276">
                  <c:v>41640</c:v>
                </c:pt>
                <c:pt idx="277">
                  <c:v>41671</c:v>
                </c:pt>
                <c:pt idx="278">
                  <c:v>41699</c:v>
                </c:pt>
                <c:pt idx="279">
                  <c:v>41730</c:v>
                </c:pt>
                <c:pt idx="280">
                  <c:v>41760</c:v>
                </c:pt>
                <c:pt idx="281">
                  <c:v>41791</c:v>
                </c:pt>
                <c:pt idx="282">
                  <c:v>41821</c:v>
                </c:pt>
                <c:pt idx="283">
                  <c:v>41852</c:v>
                </c:pt>
                <c:pt idx="284">
                  <c:v>41883</c:v>
                </c:pt>
                <c:pt idx="285">
                  <c:v>41913</c:v>
                </c:pt>
                <c:pt idx="286">
                  <c:v>41944</c:v>
                </c:pt>
                <c:pt idx="287">
                  <c:v>41974</c:v>
                </c:pt>
                <c:pt idx="288">
                  <c:v>42005</c:v>
                </c:pt>
                <c:pt idx="289">
                  <c:v>42036</c:v>
                </c:pt>
                <c:pt idx="290">
                  <c:v>42064</c:v>
                </c:pt>
                <c:pt idx="291">
                  <c:v>42095</c:v>
                </c:pt>
                <c:pt idx="292">
                  <c:v>42125</c:v>
                </c:pt>
                <c:pt idx="293">
                  <c:v>42156</c:v>
                </c:pt>
                <c:pt idx="294">
                  <c:v>42186</c:v>
                </c:pt>
                <c:pt idx="295">
                  <c:v>42217</c:v>
                </c:pt>
                <c:pt idx="296">
                  <c:v>42248</c:v>
                </c:pt>
                <c:pt idx="297">
                  <c:v>42278</c:v>
                </c:pt>
                <c:pt idx="298">
                  <c:v>42309</c:v>
                </c:pt>
                <c:pt idx="299">
                  <c:v>42339</c:v>
                </c:pt>
                <c:pt idx="300">
                  <c:v>42370</c:v>
                </c:pt>
                <c:pt idx="301">
                  <c:v>42401</c:v>
                </c:pt>
                <c:pt idx="302">
                  <c:v>42430</c:v>
                </c:pt>
                <c:pt idx="303">
                  <c:v>42461</c:v>
                </c:pt>
                <c:pt idx="304">
                  <c:v>42491</c:v>
                </c:pt>
                <c:pt idx="305">
                  <c:v>42522</c:v>
                </c:pt>
                <c:pt idx="306">
                  <c:v>42552</c:v>
                </c:pt>
                <c:pt idx="307">
                  <c:v>42583</c:v>
                </c:pt>
                <c:pt idx="308">
                  <c:v>42614</c:v>
                </c:pt>
                <c:pt idx="309">
                  <c:v>42644</c:v>
                </c:pt>
                <c:pt idx="310">
                  <c:v>42675</c:v>
                </c:pt>
                <c:pt idx="311">
                  <c:v>42705</c:v>
                </c:pt>
                <c:pt idx="312">
                  <c:v>42736</c:v>
                </c:pt>
                <c:pt idx="313">
                  <c:v>42767</c:v>
                </c:pt>
                <c:pt idx="314">
                  <c:v>42795</c:v>
                </c:pt>
                <c:pt idx="315">
                  <c:v>42826</c:v>
                </c:pt>
                <c:pt idx="316">
                  <c:v>42856</c:v>
                </c:pt>
                <c:pt idx="317">
                  <c:v>42887</c:v>
                </c:pt>
                <c:pt idx="318">
                  <c:v>42917</c:v>
                </c:pt>
                <c:pt idx="319">
                  <c:v>42948</c:v>
                </c:pt>
                <c:pt idx="320">
                  <c:v>42979</c:v>
                </c:pt>
                <c:pt idx="321">
                  <c:v>43009</c:v>
                </c:pt>
                <c:pt idx="322">
                  <c:v>43040</c:v>
                </c:pt>
                <c:pt idx="323">
                  <c:v>43070</c:v>
                </c:pt>
                <c:pt idx="324">
                  <c:v>43101</c:v>
                </c:pt>
                <c:pt idx="325">
                  <c:v>43132</c:v>
                </c:pt>
                <c:pt idx="326">
                  <c:v>43160</c:v>
                </c:pt>
                <c:pt idx="327">
                  <c:v>43191</c:v>
                </c:pt>
                <c:pt idx="328">
                  <c:v>43221</c:v>
                </c:pt>
                <c:pt idx="329">
                  <c:v>43252</c:v>
                </c:pt>
                <c:pt idx="330">
                  <c:v>43282</c:v>
                </c:pt>
                <c:pt idx="331">
                  <c:v>43313</c:v>
                </c:pt>
                <c:pt idx="332">
                  <c:v>43344</c:v>
                </c:pt>
                <c:pt idx="333">
                  <c:v>43374</c:v>
                </c:pt>
                <c:pt idx="334">
                  <c:v>43405</c:v>
                </c:pt>
                <c:pt idx="335">
                  <c:v>43435</c:v>
                </c:pt>
                <c:pt idx="336">
                  <c:v>43466</c:v>
                </c:pt>
                <c:pt idx="337">
                  <c:v>43497</c:v>
                </c:pt>
                <c:pt idx="338">
                  <c:v>43525</c:v>
                </c:pt>
                <c:pt idx="339">
                  <c:v>43556</c:v>
                </c:pt>
                <c:pt idx="340">
                  <c:v>43586</c:v>
                </c:pt>
                <c:pt idx="341">
                  <c:v>43617</c:v>
                </c:pt>
                <c:pt idx="342">
                  <c:v>43647</c:v>
                </c:pt>
                <c:pt idx="343">
                  <c:v>43678</c:v>
                </c:pt>
                <c:pt idx="344">
                  <c:v>43709</c:v>
                </c:pt>
                <c:pt idx="345">
                  <c:v>43739</c:v>
                </c:pt>
                <c:pt idx="346">
                  <c:v>43770</c:v>
                </c:pt>
                <c:pt idx="347">
                  <c:v>43800</c:v>
                </c:pt>
                <c:pt idx="348">
                  <c:v>43831</c:v>
                </c:pt>
                <c:pt idx="349">
                  <c:v>43862</c:v>
                </c:pt>
                <c:pt idx="350">
                  <c:v>43891</c:v>
                </c:pt>
                <c:pt idx="351">
                  <c:v>43922</c:v>
                </c:pt>
                <c:pt idx="352">
                  <c:v>43952</c:v>
                </c:pt>
                <c:pt idx="353">
                  <c:v>43983</c:v>
                </c:pt>
                <c:pt idx="354">
                  <c:v>44013</c:v>
                </c:pt>
                <c:pt idx="355">
                  <c:v>44044</c:v>
                </c:pt>
                <c:pt idx="356">
                  <c:v>44075</c:v>
                </c:pt>
                <c:pt idx="357">
                  <c:v>44105</c:v>
                </c:pt>
                <c:pt idx="358">
                  <c:v>44136</c:v>
                </c:pt>
                <c:pt idx="359">
                  <c:v>44166</c:v>
                </c:pt>
                <c:pt idx="360">
                  <c:v>44197</c:v>
                </c:pt>
                <c:pt idx="361">
                  <c:v>44228</c:v>
                </c:pt>
                <c:pt idx="362">
                  <c:v>44256</c:v>
                </c:pt>
                <c:pt idx="363">
                  <c:v>44287</c:v>
                </c:pt>
                <c:pt idx="364">
                  <c:v>44317</c:v>
                </c:pt>
                <c:pt idx="365">
                  <c:v>44348</c:v>
                </c:pt>
                <c:pt idx="366">
                  <c:v>44378</c:v>
                </c:pt>
                <c:pt idx="367">
                  <c:v>44409</c:v>
                </c:pt>
                <c:pt idx="368">
                  <c:v>44440</c:v>
                </c:pt>
                <c:pt idx="369">
                  <c:v>44470</c:v>
                </c:pt>
                <c:pt idx="370">
                  <c:v>44501</c:v>
                </c:pt>
                <c:pt idx="371">
                  <c:v>44531</c:v>
                </c:pt>
                <c:pt idx="372">
                  <c:v>44562</c:v>
                </c:pt>
                <c:pt idx="373">
                  <c:v>44593</c:v>
                </c:pt>
                <c:pt idx="374">
                  <c:v>44621</c:v>
                </c:pt>
                <c:pt idx="375">
                  <c:v>44652</c:v>
                </c:pt>
                <c:pt idx="376">
                  <c:v>44682</c:v>
                </c:pt>
                <c:pt idx="377">
                  <c:v>44713</c:v>
                </c:pt>
                <c:pt idx="378">
                  <c:v>44743</c:v>
                </c:pt>
                <c:pt idx="379">
                  <c:v>44774</c:v>
                </c:pt>
                <c:pt idx="380">
                  <c:v>44805</c:v>
                </c:pt>
                <c:pt idx="381">
                  <c:v>44835</c:v>
                </c:pt>
                <c:pt idx="382">
                  <c:v>44866</c:v>
                </c:pt>
                <c:pt idx="383">
                  <c:v>44896</c:v>
                </c:pt>
                <c:pt idx="384">
                  <c:v>44927</c:v>
                </c:pt>
                <c:pt idx="385">
                  <c:v>44958</c:v>
                </c:pt>
                <c:pt idx="386">
                  <c:v>44986</c:v>
                </c:pt>
                <c:pt idx="387">
                  <c:v>45017</c:v>
                </c:pt>
                <c:pt idx="388">
                  <c:v>45047</c:v>
                </c:pt>
                <c:pt idx="389">
                  <c:v>45078</c:v>
                </c:pt>
                <c:pt idx="390">
                  <c:v>45108</c:v>
                </c:pt>
                <c:pt idx="391">
                  <c:v>45139</c:v>
                </c:pt>
                <c:pt idx="392">
                  <c:v>45170</c:v>
                </c:pt>
                <c:pt idx="393">
                  <c:v>45200</c:v>
                </c:pt>
                <c:pt idx="394">
                  <c:v>45231</c:v>
                </c:pt>
                <c:pt idx="395">
                  <c:v>45261</c:v>
                </c:pt>
                <c:pt idx="396">
                  <c:v>45292</c:v>
                </c:pt>
                <c:pt idx="397">
                  <c:v>45323</c:v>
                </c:pt>
                <c:pt idx="398">
                  <c:v>45352</c:v>
                </c:pt>
                <c:pt idx="399">
                  <c:v>45383</c:v>
                </c:pt>
                <c:pt idx="400">
                  <c:v>45413</c:v>
                </c:pt>
                <c:pt idx="401">
                  <c:v>45444</c:v>
                </c:pt>
                <c:pt idx="402">
                  <c:v>45474</c:v>
                </c:pt>
                <c:pt idx="403">
                  <c:v>45505</c:v>
                </c:pt>
                <c:pt idx="404">
                  <c:v>45536</c:v>
                </c:pt>
                <c:pt idx="405">
                  <c:v>45566</c:v>
                </c:pt>
                <c:pt idx="406">
                  <c:v>45597</c:v>
                </c:pt>
                <c:pt idx="407">
                  <c:v>45627</c:v>
                </c:pt>
                <c:pt idx="408">
                  <c:v>45658</c:v>
                </c:pt>
                <c:pt idx="409">
                  <c:v>45689</c:v>
                </c:pt>
                <c:pt idx="410">
                  <c:v>45717</c:v>
                </c:pt>
                <c:pt idx="411">
                  <c:v>45748</c:v>
                </c:pt>
                <c:pt idx="412">
                  <c:v>45778</c:v>
                </c:pt>
                <c:pt idx="413">
                  <c:v>45809</c:v>
                </c:pt>
                <c:pt idx="414">
                  <c:v>45839</c:v>
                </c:pt>
                <c:pt idx="415">
                  <c:v>45870</c:v>
                </c:pt>
                <c:pt idx="416">
                  <c:v>45901</c:v>
                </c:pt>
                <c:pt idx="417">
                  <c:v>45931</c:v>
                </c:pt>
                <c:pt idx="418">
                  <c:v>45962</c:v>
                </c:pt>
                <c:pt idx="419">
                  <c:v>45992</c:v>
                </c:pt>
                <c:pt idx="420">
                  <c:v>46023</c:v>
                </c:pt>
                <c:pt idx="421">
                  <c:v>46054</c:v>
                </c:pt>
                <c:pt idx="422">
                  <c:v>46082</c:v>
                </c:pt>
                <c:pt idx="423">
                  <c:v>46113</c:v>
                </c:pt>
                <c:pt idx="424">
                  <c:v>46143</c:v>
                </c:pt>
                <c:pt idx="425">
                  <c:v>46174</c:v>
                </c:pt>
                <c:pt idx="426">
                  <c:v>46204</c:v>
                </c:pt>
                <c:pt idx="427">
                  <c:v>46235</c:v>
                </c:pt>
                <c:pt idx="428">
                  <c:v>46266</c:v>
                </c:pt>
                <c:pt idx="429">
                  <c:v>46296</c:v>
                </c:pt>
                <c:pt idx="430">
                  <c:v>46327</c:v>
                </c:pt>
                <c:pt idx="431">
                  <c:v>46357</c:v>
                </c:pt>
                <c:pt idx="432">
                  <c:v>46388</c:v>
                </c:pt>
              </c:numCache>
            </c:numRef>
          </c:cat>
          <c:val>
            <c:numRef>
              <c:f>'Input Data'!$P$2:$P$434</c:f>
              <c:numCache>
                <c:formatCode>General</c:formatCode>
                <c:ptCount val="433"/>
                <c:pt idx="24" formatCode="#,##0">
                  <c:v>85301.096774193546</c:v>
                </c:pt>
                <c:pt idx="25" formatCode="#,##0">
                  <c:v>85324.642857142855</c:v>
                </c:pt>
                <c:pt idx="26" formatCode="#,##0">
                  <c:v>84985.741935483864</c:v>
                </c:pt>
                <c:pt idx="27" formatCode="#,##0">
                  <c:v>84084.066666666666</c:v>
                </c:pt>
                <c:pt idx="28" formatCode="#,##0">
                  <c:v>83696.838709677424</c:v>
                </c:pt>
                <c:pt idx="29" formatCode="#,##0">
                  <c:v>83766.7</c:v>
                </c:pt>
                <c:pt idx="30" formatCode="#,##0">
                  <c:v>81887.838709677424</c:v>
                </c:pt>
                <c:pt idx="31" formatCode="#,##0">
                  <c:v>81821.258064516136</c:v>
                </c:pt>
                <c:pt idx="32" formatCode="#,##0">
                  <c:v>81042.03333333334</c:v>
                </c:pt>
                <c:pt idx="33" formatCode="#,##0">
                  <c:v>80252.677419354834</c:v>
                </c:pt>
                <c:pt idx="34" formatCode="#,##0">
                  <c:v>79734.5</c:v>
                </c:pt>
                <c:pt idx="35" formatCode="#,##0">
                  <c:v>79129</c:v>
                </c:pt>
                <c:pt idx="36" formatCode="#,##0">
                  <c:v>78299.290322580651</c:v>
                </c:pt>
                <c:pt idx="37" formatCode="#,##0">
                  <c:v>77307.357142857145</c:v>
                </c:pt>
                <c:pt idx="38" formatCode="#,##0">
                  <c:v>78829.225806451606</c:v>
                </c:pt>
                <c:pt idx="39" formatCode="#,##0">
                  <c:v>78277.2</c:v>
                </c:pt>
                <c:pt idx="40" formatCode="#,##0">
                  <c:v>78596.645161290318</c:v>
                </c:pt>
                <c:pt idx="41" formatCode="#,##0">
                  <c:v>78059.433333333334</c:v>
                </c:pt>
                <c:pt idx="42" formatCode="#,##0">
                  <c:v>76421.193548387091</c:v>
                </c:pt>
                <c:pt idx="43" formatCode="#,##0">
                  <c:v>76650.838709677424</c:v>
                </c:pt>
                <c:pt idx="44" formatCode="#,##0">
                  <c:v>76006.46666666666</c:v>
                </c:pt>
                <c:pt idx="45" formatCode="#,##0">
                  <c:v>74733.451612903227</c:v>
                </c:pt>
                <c:pt idx="46" formatCode="#,##0">
                  <c:v>74237.866666666669</c:v>
                </c:pt>
                <c:pt idx="47" formatCode="#,##0">
                  <c:v>73129.677419354834</c:v>
                </c:pt>
                <c:pt idx="48" formatCode="#,##0">
                  <c:v>72207.548387096773</c:v>
                </c:pt>
                <c:pt idx="49" formatCode="#,##0">
                  <c:v>72404.928571428565</c:v>
                </c:pt>
                <c:pt idx="50" formatCode="#,##0">
                  <c:v>71963.709677419349</c:v>
                </c:pt>
                <c:pt idx="51" formatCode="#,##0">
                  <c:v>70490.366666666669</c:v>
                </c:pt>
                <c:pt idx="52" formatCode="#,##0">
                  <c:v>70630.967741935485</c:v>
                </c:pt>
                <c:pt idx="53" formatCode="#,##0">
                  <c:v>70209.733333333337</c:v>
                </c:pt>
                <c:pt idx="54" formatCode="#,##0">
                  <c:v>67833.258064516136</c:v>
                </c:pt>
                <c:pt idx="55" formatCode="#,##0">
                  <c:v>67659.225806451606</c:v>
                </c:pt>
                <c:pt idx="56" formatCode="#,##0">
                  <c:v>67431.600000000006</c:v>
                </c:pt>
                <c:pt idx="57" formatCode="#,##0">
                  <c:v>66586.838709677424</c:v>
                </c:pt>
                <c:pt idx="58" formatCode="#,##0">
                  <c:v>66329.433333333334</c:v>
                </c:pt>
                <c:pt idx="59" formatCode="#,##0">
                  <c:v>65586.741935483864</c:v>
                </c:pt>
                <c:pt idx="60" formatCode="#,##0">
                  <c:v>64922.709677419356</c:v>
                </c:pt>
                <c:pt idx="61" formatCode="#,##0">
                  <c:v>67679.928571428565</c:v>
                </c:pt>
                <c:pt idx="62" formatCode="#,##0">
                  <c:v>64335.161290322583</c:v>
                </c:pt>
                <c:pt idx="63" formatCode="#,##0">
                  <c:v>64012.866666666669</c:v>
                </c:pt>
                <c:pt idx="64" formatCode="#,##0">
                  <c:v>63784</c:v>
                </c:pt>
                <c:pt idx="65" formatCode="#,##0">
                  <c:v>63658.366666666669</c:v>
                </c:pt>
                <c:pt idx="66" formatCode="#,##0">
                  <c:v>61506.516129032258</c:v>
                </c:pt>
                <c:pt idx="67" formatCode="#,##0">
                  <c:v>61388.806451612902</c:v>
                </c:pt>
                <c:pt idx="68" formatCode="#,##0">
                  <c:v>61405.466666666667</c:v>
                </c:pt>
                <c:pt idx="69" formatCode="#,##0">
                  <c:v>59847.548387096773</c:v>
                </c:pt>
                <c:pt idx="70" formatCode="#,##0">
                  <c:v>57878.533333333333</c:v>
                </c:pt>
                <c:pt idx="71" formatCode="#,##0">
                  <c:v>57834.258064516129</c:v>
                </c:pt>
                <c:pt idx="72" formatCode="#,##0">
                  <c:v>56851.290322580644</c:v>
                </c:pt>
                <c:pt idx="73" formatCode="#,##0">
                  <c:v>56856.357142857145</c:v>
                </c:pt>
                <c:pt idx="74" formatCode="#,##0">
                  <c:v>56064.225806451614</c:v>
                </c:pt>
                <c:pt idx="75" formatCode="#,##0">
                  <c:v>53664.133333333331</c:v>
                </c:pt>
                <c:pt idx="76" formatCode="#,##0">
                  <c:v>52938.354838709674</c:v>
                </c:pt>
                <c:pt idx="77" formatCode="#,##0">
                  <c:v>52244.6</c:v>
                </c:pt>
                <c:pt idx="78" formatCode="#,##0">
                  <c:v>51806.096774193546</c:v>
                </c:pt>
                <c:pt idx="79" formatCode="#,##0">
                  <c:v>51580.870967741932</c:v>
                </c:pt>
                <c:pt idx="80" formatCode="#,##0">
                  <c:v>50686.26666666667</c:v>
                </c:pt>
                <c:pt idx="81" formatCode="#,##0">
                  <c:v>50295.161290322583</c:v>
                </c:pt>
                <c:pt idx="82" formatCode="#,##0">
                  <c:v>50057.933333333334</c:v>
                </c:pt>
                <c:pt idx="83" formatCode="#,##0">
                  <c:v>49842.774193548386</c:v>
                </c:pt>
                <c:pt idx="84" formatCode="#,##0">
                  <c:v>48774</c:v>
                </c:pt>
                <c:pt idx="85" formatCode="#,##0">
                  <c:v>47933.678571428572</c:v>
                </c:pt>
                <c:pt idx="86" formatCode="#,##0">
                  <c:v>47039.096774193546</c:v>
                </c:pt>
                <c:pt idx="87" formatCode="#,##0">
                  <c:v>45217.8</c:v>
                </c:pt>
                <c:pt idx="88" formatCode="#,##0">
                  <c:v>45029.290322580644</c:v>
                </c:pt>
                <c:pt idx="89" formatCode="#,##0">
                  <c:v>43970.833333333336</c:v>
                </c:pt>
                <c:pt idx="90" formatCode="#,##0">
                  <c:v>42747.741935483871</c:v>
                </c:pt>
                <c:pt idx="91" formatCode="#,##0">
                  <c:v>41811.387096774197</c:v>
                </c:pt>
                <c:pt idx="92" formatCode="#,##0">
                  <c:v>40563.1</c:v>
                </c:pt>
                <c:pt idx="93" formatCode="#,##0">
                  <c:v>40279.516129032258</c:v>
                </c:pt>
                <c:pt idx="94" formatCode="#,##0">
                  <c:v>39122.400000000001</c:v>
                </c:pt>
                <c:pt idx="95" formatCode="#,##0">
                  <c:v>37488.161290322583</c:v>
                </c:pt>
                <c:pt idx="96" formatCode="#,##0">
                  <c:v>36146</c:v>
                </c:pt>
                <c:pt idx="97" formatCode="#,##0">
                  <c:v>36298.178571428572</c:v>
                </c:pt>
                <c:pt idx="98" formatCode="#,##0">
                  <c:v>35396.451612903227</c:v>
                </c:pt>
                <c:pt idx="99" formatCode="#,##0">
                  <c:v>34193.4</c:v>
                </c:pt>
                <c:pt idx="100" formatCode="#,##0">
                  <c:v>33296.741935483871</c:v>
                </c:pt>
                <c:pt idx="101" formatCode="#,##0">
                  <c:v>32575.433333333334</c:v>
                </c:pt>
                <c:pt idx="102" formatCode="#,##0">
                  <c:v>31775.483870967742</c:v>
                </c:pt>
                <c:pt idx="103" formatCode="#,##0">
                  <c:v>31026.16129032258</c:v>
                </c:pt>
                <c:pt idx="104" formatCode="#,##0">
                  <c:v>30533.833333333332</c:v>
                </c:pt>
                <c:pt idx="105" formatCode="#,##0">
                  <c:v>29716.516129032258</c:v>
                </c:pt>
                <c:pt idx="106" formatCode="#,##0">
                  <c:v>28804.933333333334</c:v>
                </c:pt>
                <c:pt idx="107" formatCode="#,##0">
                  <c:v>27989.419354838708</c:v>
                </c:pt>
                <c:pt idx="108" formatCode="#,##0">
                  <c:v>27514.129032258064</c:v>
                </c:pt>
                <c:pt idx="109" formatCode="#,##0">
                  <c:v>26959.344827586207</c:v>
                </c:pt>
                <c:pt idx="110" formatCode="#,##0">
                  <c:v>26516.258064516129</c:v>
                </c:pt>
                <c:pt idx="111" formatCode="#,##0">
                  <c:v>26269.633333333335</c:v>
                </c:pt>
                <c:pt idx="112" formatCode="#,##0">
                  <c:v>24780.612903225807</c:v>
                </c:pt>
                <c:pt idx="113" formatCode="#,##0">
                  <c:v>24544.7</c:v>
                </c:pt>
                <c:pt idx="114" formatCode="#,##0">
                  <c:v>23630.451612903227</c:v>
                </c:pt>
                <c:pt idx="115" formatCode="#,##0">
                  <c:v>23205.677419354837</c:v>
                </c:pt>
                <c:pt idx="116" formatCode="#,##0">
                  <c:v>22592.666666666668</c:v>
                </c:pt>
                <c:pt idx="117" formatCode="#,##0">
                  <c:v>22226.419354838708</c:v>
                </c:pt>
                <c:pt idx="118" formatCode="#,##0">
                  <c:v>21360.166666666668</c:v>
                </c:pt>
                <c:pt idx="119" formatCode="#,##0">
                  <c:v>15062.354838709678</c:v>
                </c:pt>
                <c:pt idx="120" formatCode="#,##0">
                  <c:v>20031.774193548386</c:v>
                </c:pt>
                <c:pt idx="121" formatCode="#,##0">
                  <c:v>19873.142857142859</c:v>
                </c:pt>
                <c:pt idx="122" formatCode="#,##0">
                  <c:v>19356.193548387098</c:v>
                </c:pt>
                <c:pt idx="123" formatCode="#,##0">
                  <c:v>19614.400000000001</c:v>
                </c:pt>
                <c:pt idx="124" formatCode="#,##0">
                  <c:v>18767.225806451614</c:v>
                </c:pt>
                <c:pt idx="125" formatCode="#,##0">
                  <c:v>18544.766666666666</c:v>
                </c:pt>
                <c:pt idx="126" formatCode="#,##0">
                  <c:v>18346.935483870966</c:v>
                </c:pt>
                <c:pt idx="127" formatCode="#,##0">
                  <c:v>18051.322580645163</c:v>
                </c:pt>
                <c:pt idx="128" formatCode="#,##0">
                  <c:v>17725.633333333335</c:v>
                </c:pt>
                <c:pt idx="129" formatCode="#,##0">
                  <c:v>17555.774193548386</c:v>
                </c:pt>
                <c:pt idx="130" formatCode="#,##0">
                  <c:v>17148.033333333333</c:v>
                </c:pt>
                <c:pt idx="131" formatCode="#,##0">
                  <c:v>16888.322580645163</c:v>
                </c:pt>
                <c:pt idx="132" formatCode="#,##0">
                  <c:v>16723.387096774193</c:v>
                </c:pt>
                <c:pt idx="133" formatCode="#,##0">
                  <c:v>16611.928571428572</c:v>
                </c:pt>
                <c:pt idx="134" formatCode="#,##0">
                  <c:v>16158.516129032258</c:v>
                </c:pt>
                <c:pt idx="135" formatCode="#,##0">
                  <c:v>15989.966666666667</c:v>
                </c:pt>
                <c:pt idx="136" formatCode="#,##0">
                  <c:v>15944.258064516129</c:v>
                </c:pt>
                <c:pt idx="137" formatCode="#,##0">
                  <c:v>15610.2</c:v>
                </c:pt>
                <c:pt idx="138" formatCode="#,##0">
                  <c:v>15477.41935483871</c:v>
                </c:pt>
                <c:pt idx="139" formatCode="#,##0">
                  <c:v>15193.935483870968</c:v>
                </c:pt>
                <c:pt idx="140" formatCode="#,##0">
                  <c:v>15309.866666666667</c:v>
                </c:pt>
                <c:pt idx="141" formatCode="#,##0">
                  <c:v>15311.645161290322</c:v>
                </c:pt>
                <c:pt idx="142" formatCode="#,##0">
                  <c:v>15139.4</c:v>
                </c:pt>
                <c:pt idx="143" formatCode="#,##0">
                  <c:v>14815.838709677419</c:v>
                </c:pt>
                <c:pt idx="144" formatCode="#,##0">
                  <c:v>14614.516129032258</c:v>
                </c:pt>
                <c:pt idx="145" formatCode="#,##0">
                  <c:v>14542.428571428571</c:v>
                </c:pt>
                <c:pt idx="146" formatCode="#,##0">
                  <c:v>14685.612903225807</c:v>
                </c:pt>
                <c:pt idx="147" formatCode="#,##0">
                  <c:v>14469.8</c:v>
                </c:pt>
                <c:pt idx="148" formatCode="#,##0">
                  <c:v>14524.838709677419</c:v>
                </c:pt>
                <c:pt idx="149" formatCode="#,##0">
                  <c:v>14326.1</c:v>
                </c:pt>
                <c:pt idx="150" formatCode="#,##0">
                  <c:v>14208.354838709678</c:v>
                </c:pt>
                <c:pt idx="151" formatCode="#,##0">
                  <c:v>13824.225806451614</c:v>
                </c:pt>
                <c:pt idx="152" formatCode="#,##0">
                  <c:v>13896.8</c:v>
                </c:pt>
                <c:pt idx="153" formatCode="#,##0">
                  <c:v>13841.483870967742</c:v>
                </c:pt>
                <c:pt idx="154" formatCode="#,##0">
                  <c:v>13805.733333333334</c:v>
                </c:pt>
                <c:pt idx="155" formatCode="#,##0">
                  <c:v>13513.193548387097</c:v>
                </c:pt>
                <c:pt idx="156" formatCode="#,##0">
                  <c:v>13352.709677419354</c:v>
                </c:pt>
                <c:pt idx="157" formatCode="#,##0">
                  <c:v>13658.655172413793</c:v>
                </c:pt>
                <c:pt idx="158" formatCode="#,##0">
                  <c:v>13368.870967741936</c:v>
                </c:pt>
                <c:pt idx="159" formatCode="#,##0">
                  <c:v>13289.466666666667</c:v>
                </c:pt>
                <c:pt idx="160" formatCode="#,##0">
                  <c:v>13137.193548387097</c:v>
                </c:pt>
                <c:pt idx="161" formatCode="#,##0">
                  <c:v>11672.766666666666</c:v>
                </c:pt>
                <c:pt idx="162" formatCode="#,##0">
                  <c:v>13063.838709677419</c:v>
                </c:pt>
                <c:pt idx="163" formatCode="#,##0">
                  <c:v>13040.129032258064</c:v>
                </c:pt>
                <c:pt idx="164" formatCode="#,##0">
                  <c:v>12919.366666666667</c:v>
                </c:pt>
                <c:pt idx="165" formatCode="#,##0">
                  <c:v>13054.612903225807</c:v>
                </c:pt>
                <c:pt idx="166" formatCode="#,##0">
                  <c:v>12678.6</c:v>
                </c:pt>
                <c:pt idx="167" formatCode="#,##0">
                  <c:v>12517.064516129032</c:v>
                </c:pt>
                <c:pt idx="168" formatCode="#,##0">
                  <c:v>12402.290322580646</c:v>
                </c:pt>
                <c:pt idx="169" formatCode="#,##0">
                  <c:v>12455.714285714286</c:v>
                </c:pt>
                <c:pt idx="170" formatCode="#,##0">
                  <c:v>12644.645161290322</c:v>
                </c:pt>
                <c:pt idx="171" formatCode="#,##0">
                  <c:v>12344.166666666666</c:v>
                </c:pt>
                <c:pt idx="172" formatCode="#,##0">
                  <c:v>12394.709677419354</c:v>
                </c:pt>
                <c:pt idx="173" formatCode="#,##0">
                  <c:v>12221.933333333332</c:v>
                </c:pt>
                <c:pt idx="174" formatCode="#,##0">
                  <c:v>12181.451612903225</c:v>
                </c:pt>
                <c:pt idx="175" formatCode="#,##0">
                  <c:v>12451.967741935483</c:v>
                </c:pt>
                <c:pt idx="176" formatCode="#,##0">
                  <c:v>11199.7</c:v>
                </c:pt>
                <c:pt idx="177" formatCode="#,##0">
                  <c:v>12323.064516129032</c:v>
                </c:pt>
                <c:pt idx="178" formatCode="#,##0">
                  <c:v>12422.7</c:v>
                </c:pt>
                <c:pt idx="179" formatCode="#,##0">
                  <c:v>12271.903225806451</c:v>
                </c:pt>
                <c:pt idx="180" formatCode="#,##0">
                  <c:v>12177.870967741936</c:v>
                </c:pt>
                <c:pt idx="181" formatCode="#,##0">
                  <c:v>12163</c:v>
                </c:pt>
                <c:pt idx="182" formatCode="#,##0">
                  <c:v>12319.548387096775</c:v>
                </c:pt>
                <c:pt idx="183" formatCode="#,##0">
                  <c:v>11874.4</c:v>
                </c:pt>
                <c:pt idx="184" formatCode="#,##0">
                  <c:v>12229.354838709678</c:v>
                </c:pt>
                <c:pt idx="185" formatCode="#,##0">
                  <c:v>12020.966666666667</c:v>
                </c:pt>
                <c:pt idx="186" formatCode="#,##0">
                  <c:v>11702.064516129032</c:v>
                </c:pt>
                <c:pt idx="187" formatCode="#,##0">
                  <c:v>11490.58064516129</c:v>
                </c:pt>
                <c:pt idx="188" formatCode="#,##0">
                  <c:v>11669.533333333333</c:v>
                </c:pt>
                <c:pt idx="189" formatCode="#,##0">
                  <c:v>11676.903225806451</c:v>
                </c:pt>
                <c:pt idx="190" formatCode="#,##0">
                  <c:v>11508.666666666666</c:v>
                </c:pt>
                <c:pt idx="191" formatCode="#,##0">
                  <c:v>11466.516129032258</c:v>
                </c:pt>
                <c:pt idx="192" formatCode="#,##0">
                  <c:v>11146.935483870968</c:v>
                </c:pt>
                <c:pt idx="193" formatCode="#,##0">
                  <c:v>10995.821428571429</c:v>
                </c:pt>
                <c:pt idx="194" formatCode="#,##0">
                  <c:v>11764.516129032258</c:v>
                </c:pt>
                <c:pt idx="195" formatCode="#,##0">
                  <c:v>11812.666666666666</c:v>
                </c:pt>
                <c:pt idx="196" formatCode="#,##0">
                  <c:v>11629.935483870968</c:v>
                </c:pt>
                <c:pt idx="197" formatCode="#,##0">
                  <c:v>11226.366666666667</c:v>
                </c:pt>
                <c:pt idx="198" formatCode="#,##0">
                  <c:v>11301.58064516129</c:v>
                </c:pt>
                <c:pt idx="199" formatCode="#,##0">
                  <c:v>11341.451612903225</c:v>
                </c:pt>
                <c:pt idx="200" formatCode="#,##0">
                  <c:v>11290.033333333333</c:v>
                </c:pt>
                <c:pt idx="201" formatCode="#,##0">
                  <c:v>11386.258064516129</c:v>
                </c:pt>
                <c:pt idx="202" formatCode="#,##0">
                  <c:v>11418.633333333333</c:v>
                </c:pt>
                <c:pt idx="203" formatCode="#,##0">
                  <c:v>11186.129032258064</c:v>
                </c:pt>
                <c:pt idx="204" formatCode="#,##0">
                  <c:v>11391.709677419354</c:v>
                </c:pt>
                <c:pt idx="205" formatCode="#,##0">
                  <c:v>11396.758620689656</c:v>
                </c:pt>
                <c:pt idx="206" formatCode="#,##0">
                  <c:v>10900.096774193549</c:v>
                </c:pt>
                <c:pt idx="207" formatCode="#,##0">
                  <c:v>11157.2</c:v>
                </c:pt>
                <c:pt idx="208" formatCode="#,##0">
                  <c:v>11189</c:v>
                </c:pt>
                <c:pt idx="209" formatCode="#,##0">
                  <c:v>11118.566666666668</c:v>
                </c:pt>
                <c:pt idx="210" formatCode="#,##0">
                  <c:v>11088.903225806451</c:v>
                </c:pt>
                <c:pt idx="211" formatCode="#,##0">
                  <c:v>10963.967741935483</c:v>
                </c:pt>
                <c:pt idx="212" formatCode="#,##0">
                  <c:v>9058.5666666666675</c:v>
                </c:pt>
                <c:pt idx="213" formatCode="#,##0">
                  <c:v>11165.129032258064</c:v>
                </c:pt>
                <c:pt idx="214" formatCode="#,##0">
                  <c:v>11076.7</c:v>
                </c:pt>
                <c:pt idx="215" formatCode="#,##0">
                  <c:v>10848.129032258064</c:v>
                </c:pt>
                <c:pt idx="216" formatCode="#,##0">
                  <c:v>10837.612903225807</c:v>
                </c:pt>
                <c:pt idx="217" formatCode="#,##0">
                  <c:v>10641.535714285714</c:v>
                </c:pt>
                <c:pt idx="218" formatCode="#,##0">
                  <c:v>10535.483870967742</c:v>
                </c:pt>
                <c:pt idx="219" formatCode="#,##0">
                  <c:v>10413.333333333334</c:v>
                </c:pt>
                <c:pt idx="220" formatCode="#,##0">
                  <c:v>10212.774193548386</c:v>
                </c:pt>
                <c:pt idx="221" formatCode="#,##0">
                  <c:v>10311.433333333332</c:v>
                </c:pt>
                <c:pt idx="222" formatCode="#,##0">
                  <c:v>10215.129032258064</c:v>
                </c:pt>
                <c:pt idx="223" formatCode="#,##0">
                  <c:v>10178.129032258064</c:v>
                </c:pt>
                <c:pt idx="224" formatCode="#,##0">
                  <c:v>10204.366666666667</c:v>
                </c:pt>
                <c:pt idx="225" formatCode="#,##0">
                  <c:v>10026.193548387097</c:v>
                </c:pt>
                <c:pt idx="226" formatCode="#,##0">
                  <c:v>10204.966666666667</c:v>
                </c:pt>
                <c:pt idx="227" formatCode="#,##0">
                  <c:v>10192.129032258064</c:v>
                </c:pt>
                <c:pt idx="228" formatCode="#,##0">
                  <c:v>9997.645161290322</c:v>
                </c:pt>
                <c:pt idx="229" formatCode="#,##0">
                  <c:v>9178.0357142857138</c:v>
                </c:pt>
                <c:pt idx="230" formatCode="#,##0">
                  <c:v>10085.709677419354</c:v>
                </c:pt>
                <c:pt idx="231" formatCode="#,##0">
                  <c:v>10237.266666666666</c:v>
                </c:pt>
                <c:pt idx="232" formatCode="#,##0">
                  <c:v>10224.903225806451</c:v>
                </c:pt>
                <c:pt idx="233" formatCode="#,##0">
                  <c:v>10090.299999999999</c:v>
                </c:pt>
                <c:pt idx="234" formatCode="#,##0">
                  <c:v>10060.290322580646</c:v>
                </c:pt>
                <c:pt idx="235" formatCode="#,##0">
                  <c:v>10046.870967741936</c:v>
                </c:pt>
                <c:pt idx="236" formatCode="#,##0">
                  <c:v>10140.166666666666</c:v>
                </c:pt>
                <c:pt idx="237" formatCode="#,##0">
                  <c:v>10085.290322580646</c:v>
                </c:pt>
                <c:pt idx="238" formatCode="#,##0">
                  <c:v>10126.533333333333</c:v>
                </c:pt>
                <c:pt idx="239" formatCode="#,##0">
                  <c:v>9979</c:v>
                </c:pt>
                <c:pt idx="240" formatCode="#,##0">
                  <c:v>10027.354838709678</c:v>
                </c:pt>
                <c:pt idx="241" formatCode="#,##0">
                  <c:v>10052.107142857143</c:v>
                </c:pt>
                <c:pt idx="242" formatCode="#,##0">
                  <c:v>10257.483870967742</c:v>
                </c:pt>
                <c:pt idx="243" formatCode="#,##0">
                  <c:v>10029.200000000001</c:v>
                </c:pt>
                <c:pt idx="244" formatCode="#,##0">
                  <c:v>10240.709677419354</c:v>
                </c:pt>
                <c:pt idx="245" formatCode="#,##0">
                  <c:v>10051</c:v>
                </c:pt>
                <c:pt idx="246" formatCode="#,##0">
                  <c:v>10076.612903225807</c:v>
                </c:pt>
                <c:pt idx="247" formatCode="#,##0">
                  <c:v>10057.064516129032</c:v>
                </c:pt>
                <c:pt idx="248" formatCode="#,##0">
                  <c:v>9701.2666666666664</c:v>
                </c:pt>
                <c:pt idx="249" formatCode="#,##0">
                  <c:v>10121.451612903225</c:v>
                </c:pt>
                <c:pt idx="250" formatCode="#,##0">
                  <c:v>10256.5</c:v>
                </c:pt>
                <c:pt idx="251" formatCode="#,##0">
                  <c:v>10220.387096774193</c:v>
                </c:pt>
                <c:pt idx="252" formatCode="#,##0">
                  <c:v>10200.741935483871</c:v>
                </c:pt>
                <c:pt idx="253" formatCode="#,##0">
                  <c:v>10271.758620689656</c:v>
                </c:pt>
                <c:pt idx="254" formatCode="#,##0">
                  <c:v>10151.193548387097</c:v>
                </c:pt>
                <c:pt idx="255" formatCode="#,##0">
                  <c:v>10191.566666666668</c:v>
                </c:pt>
                <c:pt idx="256" formatCode="#,##0">
                  <c:v>10003.612903225807</c:v>
                </c:pt>
                <c:pt idx="257" formatCode="#,##0">
                  <c:v>10111.433333333332</c:v>
                </c:pt>
                <c:pt idx="258" formatCode="#,##0">
                  <c:v>9977.3870967741932</c:v>
                </c:pt>
                <c:pt idx="259" formatCode="#,##0">
                  <c:v>9664.1935483870966</c:v>
                </c:pt>
                <c:pt idx="260" formatCode="#,##0">
                  <c:v>9839.1</c:v>
                </c:pt>
                <c:pt idx="261" formatCode="#,##0">
                  <c:v>10155.935483870968</c:v>
                </c:pt>
                <c:pt idx="262" formatCode="#,##0">
                  <c:v>9998.9666666666672</c:v>
                </c:pt>
                <c:pt idx="263" formatCode="#,##0">
                  <c:v>9711.0967741935492</c:v>
                </c:pt>
                <c:pt idx="264" formatCode="#,##0">
                  <c:v>9897.7741935483864</c:v>
                </c:pt>
                <c:pt idx="265" formatCode="#,##0">
                  <c:v>10001.464285714286</c:v>
                </c:pt>
                <c:pt idx="266" formatCode="#,##0">
                  <c:v>10059.903225806451</c:v>
                </c:pt>
                <c:pt idx="267" formatCode="#,##0">
                  <c:v>10176.200000000001</c:v>
                </c:pt>
                <c:pt idx="268" formatCode="#,##0">
                  <c:v>10052.129032258064</c:v>
                </c:pt>
                <c:pt idx="269" formatCode="#,##0">
                  <c:v>10102.133333333333</c:v>
                </c:pt>
                <c:pt idx="270" formatCode="#,##0">
                  <c:v>10172.483870967742</c:v>
                </c:pt>
                <c:pt idx="271" formatCode="#,##0">
                  <c:v>10209.935483870968</c:v>
                </c:pt>
                <c:pt idx="272" formatCode="#,##0">
                  <c:v>9989.4333333333325</c:v>
                </c:pt>
                <c:pt idx="273" formatCode="#,##0">
                  <c:v>10103.193548387097</c:v>
                </c:pt>
                <c:pt idx="274" formatCode="#,##0">
                  <c:v>10171.299999999999</c:v>
                </c:pt>
                <c:pt idx="275" formatCode="#,##0">
                  <c:v>10265.354838709678</c:v>
                </c:pt>
                <c:pt idx="276" formatCode="#,##0">
                  <c:v>10027</c:v>
                </c:pt>
                <c:pt idx="277" formatCode="#,##0">
                  <c:v>10211.428571428571</c:v>
                </c:pt>
                <c:pt idx="278" formatCode="#,##0">
                  <c:v>9576.9354838709678</c:v>
                </c:pt>
                <c:pt idx="279" formatCode="#,##0">
                  <c:v>10024.333333333334</c:v>
                </c:pt>
                <c:pt idx="280" formatCode="#,##0">
                  <c:v>9950.8387096774186</c:v>
                </c:pt>
                <c:pt idx="281" formatCode="#,##0">
                  <c:v>10298.966666666667</c:v>
                </c:pt>
                <c:pt idx="282" formatCode="#,##0">
                  <c:v>10090.290322580646</c:v>
                </c:pt>
                <c:pt idx="283" formatCode="#,##0">
                  <c:v>10306.903225806451</c:v>
                </c:pt>
                <c:pt idx="284" formatCode="#,##0">
                  <c:v>10229.333333333334</c:v>
                </c:pt>
                <c:pt idx="285" formatCode="#,##0">
                  <c:v>10084.58064516129</c:v>
                </c:pt>
                <c:pt idx="286" formatCode="#,##0">
                  <c:v>10343.766666666666</c:v>
                </c:pt>
                <c:pt idx="287" formatCode="#,##0">
                  <c:v>10205</c:v>
                </c:pt>
                <c:pt idx="288" formatCode="#,##0">
                  <c:v>10351.903225806451</c:v>
                </c:pt>
                <c:pt idx="289" formatCode="#,##0">
                  <c:v>10052.142857142857</c:v>
                </c:pt>
                <c:pt idx="290" formatCode="#,##0">
                  <c:v>10044.322580645161</c:v>
                </c:pt>
                <c:pt idx="291" formatCode="#,##0">
                  <c:v>9709.1666666666661</c:v>
                </c:pt>
                <c:pt idx="292" formatCode="#,##0">
                  <c:v>9480.9032258064508</c:v>
                </c:pt>
                <c:pt idx="293" formatCode="#,##0">
                  <c:v>9592.4666666666672</c:v>
                </c:pt>
                <c:pt idx="294" formatCode="#,##0">
                  <c:v>9567.7419354838712</c:v>
                </c:pt>
                <c:pt idx="295" formatCode="#,##0">
                  <c:v>9507.2258064516136</c:v>
                </c:pt>
                <c:pt idx="296" formatCode="#,##0">
                  <c:v>9352.3333333333339</c:v>
                </c:pt>
                <c:pt idx="297" formatCode="#,##0">
                  <c:v>9030.5161290322576</c:v>
                </c:pt>
                <c:pt idx="298" formatCode="#,##0">
                  <c:v>9257.5</c:v>
                </c:pt>
                <c:pt idx="299" formatCode="#,##0">
                  <c:v>8904.0967741935492</c:v>
                </c:pt>
                <c:pt idx="300" formatCode="#,##0">
                  <c:v>8447.6129032258068</c:v>
                </c:pt>
                <c:pt idx="301" formatCode="#,##0">
                  <c:v>8021</c:v>
                </c:pt>
                <c:pt idx="302" formatCode="#,##0">
                  <c:v>7464.4516129032254</c:v>
                </c:pt>
                <c:pt idx="303" formatCode="#,##0">
                  <c:v>7678.2333333333336</c:v>
                </c:pt>
                <c:pt idx="304" formatCode="#,##0">
                  <c:v>7682.2903225806449</c:v>
                </c:pt>
                <c:pt idx="305" formatCode="#,##0">
                  <c:v>7587.1333333333332</c:v>
                </c:pt>
                <c:pt idx="306" formatCode="#,##0">
                  <c:v>7261.8064516129034</c:v>
                </c:pt>
                <c:pt idx="307" formatCode="#,##0">
                  <c:v>7486.1290322580644</c:v>
                </c:pt>
                <c:pt idx="308" formatCode="#,##0">
                  <c:v>7575.2333333333336</c:v>
                </c:pt>
                <c:pt idx="309" formatCode="#,##0">
                  <c:v>7659.7741935483873</c:v>
                </c:pt>
                <c:pt idx="310" formatCode="#,##0">
                  <c:v>7569</c:v>
                </c:pt>
                <c:pt idx="311" formatCode="#,##0">
                  <c:v>7392.9354838709678</c:v>
                </c:pt>
                <c:pt idx="312" formatCode="#,##0">
                  <c:v>7458.5483870967746</c:v>
                </c:pt>
                <c:pt idx="313" formatCode="#,##0">
                  <c:v>7350.6785714285716</c:v>
                </c:pt>
                <c:pt idx="314" formatCode="#,##0">
                  <c:v>7240</c:v>
                </c:pt>
                <c:pt idx="315" formatCode="#,##0">
                  <c:v>7132</c:v>
                </c:pt>
                <c:pt idx="316" formatCode="#,##0">
                  <c:v>6829.2258064516127</c:v>
                </c:pt>
                <c:pt idx="317" formatCode="#,##0">
                  <c:v>6826.3666666666668</c:v>
                </c:pt>
                <c:pt idx="318" formatCode="#,##0">
                  <c:v>6676.0967741935483</c:v>
                </c:pt>
                <c:pt idx="319" formatCode="#,##0">
                  <c:v>7051.5161290322585</c:v>
                </c:pt>
                <c:pt idx="320" formatCode="#,##0">
                  <c:v>6923.2666666666664</c:v>
                </c:pt>
                <c:pt idx="321" formatCode="#,##0">
                  <c:v>6772.8064516129034</c:v>
                </c:pt>
                <c:pt idx="322" formatCode="#,##0">
                  <c:v>6949.9666666666662</c:v>
                </c:pt>
                <c:pt idx="323" formatCode="#,##0">
                  <c:v>7052.6451612903229</c:v>
                </c:pt>
                <c:pt idx="324" formatCode="#,##0">
                  <c:v>6925.9354838709678</c:v>
                </c:pt>
                <c:pt idx="325" formatCode="#,##0">
                  <c:v>7037.2857142857147</c:v>
                </c:pt>
                <c:pt idx="326" formatCode="#,##0">
                  <c:v>6787.6451612903229</c:v>
                </c:pt>
                <c:pt idx="327" formatCode="#,##0">
                  <c:v>6797.6333333333332</c:v>
                </c:pt>
                <c:pt idx="328" formatCode="#,##0">
                  <c:v>7009.0967741935483</c:v>
                </c:pt>
                <c:pt idx="329" formatCode="#,##0">
                  <c:v>6846.3</c:v>
                </c:pt>
                <c:pt idx="330" formatCode="#,##0">
                  <c:v>6846.8709677419356</c:v>
                </c:pt>
                <c:pt idx="331" formatCode="#,##0">
                  <c:v>6893.8709677419356</c:v>
                </c:pt>
                <c:pt idx="332" formatCode="#,##0">
                  <c:v>6858.7</c:v>
                </c:pt>
                <c:pt idx="333" formatCode="#,##0">
                  <c:v>6820.9354838709678</c:v>
                </c:pt>
                <c:pt idx="334" formatCode="#,##0">
                  <c:v>6832.7</c:v>
                </c:pt>
                <c:pt idx="335" formatCode="#,##0">
                  <c:v>6689.5483870967746</c:v>
                </c:pt>
                <c:pt idx="336" formatCode="#,##0">
                  <c:v>6694.7419354838712</c:v>
                </c:pt>
                <c:pt idx="337" formatCode="#,##0">
                  <c:v>6650.3571428571431</c:v>
                </c:pt>
                <c:pt idx="338" formatCode="#,##0">
                  <c:v>6518.9677419354839</c:v>
                </c:pt>
                <c:pt idx="339" formatCode="#,##0">
                  <c:v>6410.6</c:v>
                </c:pt>
                <c:pt idx="340" formatCode="#,##0">
                  <c:v>5844.1612903225805</c:v>
                </c:pt>
                <c:pt idx="341" formatCode="#,##0">
                  <c:v>6308.1333333333332</c:v>
                </c:pt>
                <c:pt idx="342" formatCode="#,##0">
                  <c:v>6160.8709677419356</c:v>
                </c:pt>
                <c:pt idx="343" formatCode="#,##0">
                  <c:v>6294.4516129032254</c:v>
                </c:pt>
                <c:pt idx="344" formatCode="#,##0">
                  <c:v>6500.833333333333</c:v>
                </c:pt>
                <c:pt idx="345" formatCode="#,##0">
                  <c:v>6526.5483870967746</c:v>
                </c:pt>
                <c:pt idx="346" formatCode="#,##0">
                  <c:v>6620.5</c:v>
                </c:pt>
                <c:pt idx="347" formatCode="#,##0">
                  <c:v>6554.322580645161</c:v>
                </c:pt>
                <c:pt idx="348" formatCode="#,##0">
                  <c:v>6567.5806451612907</c:v>
                </c:pt>
                <c:pt idx="349" formatCode="#,##0">
                  <c:v>6634.6896551724139</c:v>
                </c:pt>
                <c:pt idx="350" formatCode="#,##0">
                  <c:v>6261.3548387096771</c:v>
                </c:pt>
                <c:pt idx="351" formatCode="#,##0">
                  <c:v>5110.6333333333332</c:v>
                </c:pt>
                <c:pt idx="352" formatCode="#,##0">
                  <c:v>4801.677419354839</c:v>
                </c:pt>
                <c:pt idx="353" formatCode="#,##0">
                  <c:v>5301.9333333333334</c:v>
                </c:pt>
                <c:pt idx="354" formatCode="#,##0">
                  <c:v>5266.1612903225805</c:v>
                </c:pt>
                <c:pt idx="355" formatCode="#,##0">
                  <c:v>5361.8064516129034</c:v>
                </c:pt>
                <c:pt idx="356" formatCode="#,##0">
                  <c:v>5253.5</c:v>
                </c:pt>
                <c:pt idx="357" formatCode="#,##0">
                  <c:v>5446.8709677419356</c:v>
                </c:pt>
                <c:pt idx="358" formatCode="#,##0">
                  <c:v>5415.0666666666666</c:v>
                </c:pt>
                <c:pt idx="359" formatCode="#,##0">
                  <c:v>5432.7741935483873</c:v>
                </c:pt>
                <c:pt idx="360" formatCode="#,##0">
                  <c:v>5003.5806451612907</c:v>
                </c:pt>
                <c:pt idx="361" formatCode="#,##0">
                  <c:v>4718.5357142857147</c:v>
                </c:pt>
                <c:pt idx="362" formatCode="#,##0">
                  <c:v>5320.2258064516127</c:v>
                </c:pt>
                <c:pt idx="363" formatCode="#,##0">
                  <c:v>5433.4</c:v>
                </c:pt>
                <c:pt idx="364" formatCode="#,##0">
                  <c:v>5211.5806451612907</c:v>
                </c:pt>
                <c:pt idx="365" formatCode="#,##0">
                  <c:v>5311.3666666666668</c:v>
                </c:pt>
                <c:pt idx="366" formatCode="#,##0">
                  <c:v>5337.5161290322585</c:v>
                </c:pt>
                <c:pt idx="367" formatCode="#,##0">
                  <c:v>5349.4838709677415</c:v>
                </c:pt>
                <c:pt idx="368" formatCode="#,##0">
                  <c:v>5428.4</c:v>
                </c:pt>
                <c:pt idx="369" formatCode="#,##0">
                  <c:v>5359.322580645161</c:v>
                </c:pt>
                <c:pt idx="370" formatCode="#,##0">
                  <c:v>5568.8666666666668</c:v>
                </c:pt>
                <c:pt idx="371" formatCode="#,##0">
                  <c:v>5704.5161290322585</c:v>
                </c:pt>
                <c:pt idx="372" formatCode="#,##0">
                  <c:v>5657.6129032258068</c:v>
                </c:pt>
                <c:pt idx="373" formatCode="#,##0">
                  <c:v>5605.1071428571431</c:v>
                </c:pt>
                <c:pt idx="374" formatCode="#,##0">
                  <c:v>5665.5483870967746</c:v>
                </c:pt>
                <c:pt idx="375" formatCode="#,##0">
                  <c:v>5428.9666666666662</c:v>
                </c:pt>
                <c:pt idx="376" formatCode="#,##0">
                  <c:v>5472.1612903225805</c:v>
                </c:pt>
                <c:pt idx="377" formatCode="#,##0">
                  <c:v>5678.333333333333</c:v>
                </c:pt>
                <c:pt idx="378" formatCode="#,##0">
                  <c:v>5624.677419354839</c:v>
                </c:pt>
                <c:pt idx="379" formatCode="#,##0">
                  <c:v>5557.677419354839</c:v>
                </c:pt>
                <c:pt idx="380" formatCode="#,##0">
                  <c:v>5693.166666666667</c:v>
                </c:pt>
                <c:pt idx="381" formatCode="#,##0">
                  <c:v>5601.1935483870966</c:v>
                </c:pt>
                <c:pt idx="382" formatCode="#,##0">
                  <c:v>5736.3</c:v>
                </c:pt>
                <c:pt idx="383" formatCode="#,##0">
                  <c:v>5586.8387096774195</c:v>
                </c:pt>
                <c:pt idx="384" formatCode="#,##0">
                  <c:v>5642.8387096774195</c:v>
                </c:pt>
                <c:pt idx="385" formatCode="#,##0">
                  <c:v>5613.4285714285716</c:v>
                </c:pt>
                <c:pt idx="386" formatCode="#,##0">
                  <c:v>5733.7419354838712</c:v>
                </c:pt>
                <c:pt idx="387" formatCode="#,##0">
                  <c:v>5682.8666666666668</c:v>
                </c:pt>
                <c:pt idx="388" formatCode="#,##0">
                  <c:v>5847.9354838709678</c:v>
                </c:pt>
                <c:pt idx="389" formatCode="#,##0">
                  <c:v>4932.666666666667</c:v>
                </c:pt>
                <c:pt idx="390" formatCode="#,##0">
                  <c:v>5709.4516129032254</c:v>
                </c:pt>
                <c:pt idx="391" formatCode="#,##0">
                  <c:v>5705.9032258064517</c:v>
                </c:pt>
                <c:pt idx="392" formatCode="#,##0">
                  <c:v>5551.3666666666668</c:v>
                </c:pt>
                <c:pt idx="393" formatCode="#,##0">
                  <c:v>5918.4516129032254</c:v>
                </c:pt>
                <c:pt idx="394" formatCode="#,##0">
                  <c:v>5761.5666666666666</c:v>
                </c:pt>
                <c:pt idx="395" formatCode="#,##0">
                  <c:v>5818.2903225806449</c:v>
                </c:pt>
                <c:pt idx="396" formatCode="#,##0">
                  <c:v>5337.7096774193551</c:v>
                </c:pt>
                <c:pt idx="397" formatCode="#,##0">
                  <c:v>5753.1724137931033</c:v>
                </c:pt>
                <c:pt idx="398" formatCode="#,##0">
                  <c:v>5744.5806451612907</c:v>
                </c:pt>
                <c:pt idx="399" formatCode="#,##0">
                  <c:v>5407.7</c:v>
                </c:pt>
                <c:pt idx="400" formatCode="#,##0">
                  <c:v>5428.1290322580644</c:v>
                </c:pt>
                <c:pt idx="401" formatCode="#,##0">
                  <c:v>5142.3666666666668</c:v>
                </c:pt>
                <c:pt idx="402" formatCode="#,##0">
                  <c:v>5503.322580645161</c:v>
                </c:pt>
                <c:pt idx="403" formatCode="#,##0">
                  <c:v>5723.5806451612907</c:v>
                </c:pt>
                <c:pt idx="404" formatCode="#,##0">
                  <c:v>5799.7</c:v>
                </c:pt>
                <c:pt idx="405" formatCode="#,##0">
                  <c:v>5876.2903225806449</c:v>
                </c:pt>
                <c:pt idx="406" formatCode="#,##0">
                  <c:v>5888.2</c:v>
                </c:pt>
                <c:pt idx="407" formatCode="#,##0">
                  <c:v>5806.1290322580644</c:v>
                </c:pt>
                <c:pt idx="408" formatCode="#,##0">
                  <c:v>5745.2903225806449</c:v>
                </c:pt>
                <c:pt idx="409" formatCode="#,##0">
                  <c:v>5807.2857142857147</c:v>
                </c:pt>
                <c:pt idx="410" formatCode="#,##0">
                  <c:v>5474.4838709677415</c:v>
                </c:pt>
                <c:pt idx="411" formatCode="#,##0">
                  <c:v>5759.0333333333338</c:v>
                </c:pt>
                <c:pt idx="412" formatCode="#,##0">
                  <c:v>5634.3548387096771</c:v>
                </c:pt>
                <c:pt idx="413" formatCode="#,##0">
                  <c:v>5608.3666666666668</c:v>
                </c:pt>
                <c:pt idx="414" formatCode="#,##0">
                  <c:v>5587.7419354838712</c:v>
                </c:pt>
                <c:pt idx="415" formatCode="#,##0">
                  <c:v>5578.3548387096771</c:v>
                </c:pt>
                <c:pt idx="416" formatCode="#,##0">
                  <c:v>5579.5666666666666</c:v>
                </c:pt>
                <c:pt idx="417" formatCode="#,##0">
                  <c:v>5491.7741935483873</c:v>
                </c:pt>
                <c:pt idx="418" formatCode="#,##0">
                  <c:v>5564.1333333333332</c:v>
                </c:pt>
                <c:pt idx="419" formatCode="#,##0">
                  <c:v>5646</c:v>
                </c:pt>
                <c:pt idx="420" formatCode="#,##0">
                  <c:v>5225.0645161290322</c:v>
                </c:pt>
                <c:pt idx="421" formatCode="#,##0">
                  <c:v>5543.25</c:v>
                </c:pt>
                <c:pt idx="422" formatCode="#,##0">
                  <c:v>5577.1935483870966</c:v>
                </c:pt>
                <c:pt idx="423" formatCode="#,##0">
                  <c:v>5550.4333333333334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7-4CF5-8160-1F5CDBA2D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716800"/>
        <c:axId val="255719752"/>
      </c:lineChart>
      <c:lineChart>
        <c:grouping val="standard"/>
        <c:varyColors val="0"/>
        <c:ser>
          <c:idx val="0"/>
          <c:order val="0"/>
          <c:tx>
            <c:v>Average Oil Price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'Input Data'!$A$2:$A$434</c:f>
              <c:numCache>
                <c:formatCode>[$-409]mmm\-yy;@</c:formatCode>
                <c:ptCount val="433"/>
                <c:pt idx="0">
                  <c:v>33239</c:v>
                </c:pt>
                <c:pt idx="1">
                  <c:v>33270</c:v>
                </c:pt>
                <c:pt idx="2">
                  <c:v>33298</c:v>
                </c:pt>
                <c:pt idx="3">
                  <c:v>33329</c:v>
                </c:pt>
                <c:pt idx="4">
                  <c:v>33359</c:v>
                </c:pt>
                <c:pt idx="5">
                  <c:v>33390</c:v>
                </c:pt>
                <c:pt idx="6">
                  <c:v>33420</c:v>
                </c:pt>
                <c:pt idx="7">
                  <c:v>33451</c:v>
                </c:pt>
                <c:pt idx="8">
                  <c:v>33482</c:v>
                </c:pt>
                <c:pt idx="9">
                  <c:v>33512</c:v>
                </c:pt>
                <c:pt idx="10">
                  <c:v>33543</c:v>
                </c:pt>
                <c:pt idx="11">
                  <c:v>33573</c:v>
                </c:pt>
                <c:pt idx="12">
                  <c:v>33604</c:v>
                </c:pt>
                <c:pt idx="13">
                  <c:v>33635</c:v>
                </c:pt>
                <c:pt idx="14">
                  <c:v>33664</c:v>
                </c:pt>
                <c:pt idx="15">
                  <c:v>33695</c:v>
                </c:pt>
                <c:pt idx="16">
                  <c:v>33725</c:v>
                </c:pt>
                <c:pt idx="17">
                  <c:v>33756</c:v>
                </c:pt>
                <c:pt idx="18">
                  <c:v>33786</c:v>
                </c:pt>
                <c:pt idx="19">
                  <c:v>33817</c:v>
                </c:pt>
                <c:pt idx="20">
                  <c:v>33848</c:v>
                </c:pt>
                <c:pt idx="21">
                  <c:v>33878</c:v>
                </c:pt>
                <c:pt idx="22">
                  <c:v>33909</c:v>
                </c:pt>
                <c:pt idx="23">
                  <c:v>33939</c:v>
                </c:pt>
                <c:pt idx="24">
                  <c:v>33970</c:v>
                </c:pt>
                <c:pt idx="25">
                  <c:v>34001</c:v>
                </c:pt>
                <c:pt idx="26">
                  <c:v>34029</c:v>
                </c:pt>
                <c:pt idx="27">
                  <c:v>34060</c:v>
                </c:pt>
                <c:pt idx="28">
                  <c:v>34090</c:v>
                </c:pt>
                <c:pt idx="29">
                  <c:v>34121</c:v>
                </c:pt>
                <c:pt idx="30">
                  <c:v>34151</c:v>
                </c:pt>
                <c:pt idx="31">
                  <c:v>34182</c:v>
                </c:pt>
                <c:pt idx="32">
                  <c:v>34213</c:v>
                </c:pt>
                <c:pt idx="33">
                  <c:v>34243</c:v>
                </c:pt>
                <c:pt idx="34">
                  <c:v>34274</c:v>
                </c:pt>
                <c:pt idx="35">
                  <c:v>34304</c:v>
                </c:pt>
                <c:pt idx="36">
                  <c:v>34335</c:v>
                </c:pt>
                <c:pt idx="37">
                  <c:v>34366</c:v>
                </c:pt>
                <c:pt idx="38">
                  <c:v>34394</c:v>
                </c:pt>
                <c:pt idx="39">
                  <c:v>34425</c:v>
                </c:pt>
                <c:pt idx="40">
                  <c:v>34455</c:v>
                </c:pt>
                <c:pt idx="41">
                  <c:v>34486</c:v>
                </c:pt>
                <c:pt idx="42">
                  <c:v>34516</c:v>
                </c:pt>
                <c:pt idx="43">
                  <c:v>34547</c:v>
                </c:pt>
                <c:pt idx="44">
                  <c:v>34578</c:v>
                </c:pt>
                <c:pt idx="45">
                  <c:v>34608</c:v>
                </c:pt>
                <c:pt idx="46">
                  <c:v>34639</c:v>
                </c:pt>
                <c:pt idx="47">
                  <c:v>34669</c:v>
                </c:pt>
                <c:pt idx="48">
                  <c:v>34700</c:v>
                </c:pt>
                <c:pt idx="49">
                  <c:v>34731</c:v>
                </c:pt>
                <c:pt idx="50">
                  <c:v>34759</c:v>
                </c:pt>
                <c:pt idx="51">
                  <c:v>34790</c:v>
                </c:pt>
                <c:pt idx="52">
                  <c:v>34820</c:v>
                </c:pt>
                <c:pt idx="53">
                  <c:v>34851</c:v>
                </c:pt>
                <c:pt idx="54">
                  <c:v>34881</c:v>
                </c:pt>
                <c:pt idx="55">
                  <c:v>34912</c:v>
                </c:pt>
                <c:pt idx="56">
                  <c:v>34943</c:v>
                </c:pt>
                <c:pt idx="57">
                  <c:v>34973</c:v>
                </c:pt>
                <c:pt idx="58">
                  <c:v>35004</c:v>
                </c:pt>
                <c:pt idx="59">
                  <c:v>35034</c:v>
                </c:pt>
                <c:pt idx="60">
                  <c:v>35065</c:v>
                </c:pt>
                <c:pt idx="61">
                  <c:v>35096</c:v>
                </c:pt>
                <c:pt idx="62">
                  <c:v>35125</c:v>
                </c:pt>
                <c:pt idx="63">
                  <c:v>35156</c:v>
                </c:pt>
                <c:pt idx="64">
                  <c:v>35186</c:v>
                </c:pt>
                <c:pt idx="65">
                  <c:v>35217</c:v>
                </c:pt>
                <c:pt idx="66">
                  <c:v>35247</c:v>
                </c:pt>
                <c:pt idx="67">
                  <c:v>35278</c:v>
                </c:pt>
                <c:pt idx="68">
                  <c:v>35309</c:v>
                </c:pt>
                <c:pt idx="69">
                  <c:v>35339</c:v>
                </c:pt>
                <c:pt idx="70">
                  <c:v>35370</c:v>
                </c:pt>
                <c:pt idx="71">
                  <c:v>35400</c:v>
                </c:pt>
                <c:pt idx="72">
                  <c:v>35431</c:v>
                </c:pt>
                <c:pt idx="73">
                  <c:v>35462</c:v>
                </c:pt>
                <c:pt idx="74">
                  <c:v>35490</c:v>
                </c:pt>
                <c:pt idx="75">
                  <c:v>35521</c:v>
                </c:pt>
                <c:pt idx="76">
                  <c:v>35551</c:v>
                </c:pt>
                <c:pt idx="77">
                  <c:v>35582</c:v>
                </c:pt>
                <c:pt idx="78">
                  <c:v>35612</c:v>
                </c:pt>
                <c:pt idx="79">
                  <c:v>35643</c:v>
                </c:pt>
                <c:pt idx="80">
                  <c:v>35674</c:v>
                </c:pt>
                <c:pt idx="81">
                  <c:v>35704</c:v>
                </c:pt>
                <c:pt idx="82">
                  <c:v>35735</c:v>
                </c:pt>
                <c:pt idx="83">
                  <c:v>35765</c:v>
                </c:pt>
                <c:pt idx="84">
                  <c:v>35796</c:v>
                </c:pt>
                <c:pt idx="85">
                  <c:v>35827</c:v>
                </c:pt>
                <c:pt idx="86">
                  <c:v>35855</c:v>
                </c:pt>
                <c:pt idx="87">
                  <c:v>35886</c:v>
                </c:pt>
                <c:pt idx="88">
                  <c:v>35916</c:v>
                </c:pt>
                <c:pt idx="89">
                  <c:v>35947</c:v>
                </c:pt>
                <c:pt idx="90">
                  <c:v>35977</c:v>
                </c:pt>
                <c:pt idx="91">
                  <c:v>36008</c:v>
                </c:pt>
                <c:pt idx="92">
                  <c:v>36039</c:v>
                </c:pt>
                <c:pt idx="93">
                  <c:v>36069</c:v>
                </c:pt>
                <c:pt idx="94">
                  <c:v>36100</c:v>
                </c:pt>
                <c:pt idx="95">
                  <c:v>36130</c:v>
                </c:pt>
                <c:pt idx="96">
                  <c:v>36161</c:v>
                </c:pt>
                <c:pt idx="97">
                  <c:v>36192</c:v>
                </c:pt>
                <c:pt idx="98">
                  <c:v>36220</c:v>
                </c:pt>
                <c:pt idx="99">
                  <c:v>36251</c:v>
                </c:pt>
                <c:pt idx="100">
                  <c:v>36281</c:v>
                </c:pt>
                <c:pt idx="101">
                  <c:v>36312</c:v>
                </c:pt>
                <c:pt idx="102">
                  <c:v>36342</c:v>
                </c:pt>
                <c:pt idx="103">
                  <c:v>36373</c:v>
                </c:pt>
                <c:pt idx="104">
                  <c:v>36404</c:v>
                </c:pt>
                <c:pt idx="105">
                  <c:v>36434</c:v>
                </c:pt>
                <c:pt idx="106">
                  <c:v>36465</c:v>
                </c:pt>
                <c:pt idx="107">
                  <c:v>36495</c:v>
                </c:pt>
                <c:pt idx="108">
                  <c:v>36526</c:v>
                </c:pt>
                <c:pt idx="109">
                  <c:v>36557</c:v>
                </c:pt>
                <c:pt idx="110">
                  <c:v>36586</c:v>
                </c:pt>
                <c:pt idx="111">
                  <c:v>36617</c:v>
                </c:pt>
                <c:pt idx="112">
                  <c:v>36647</c:v>
                </c:pt>
                <c:pt idx="113">
                  <c:v>36678</c:v>
                </c:pt>
                <c:pt idx="114">
                  <c:v>36708</c:v>
                </c:pt>
                <c:pt idx="115">
                  <c:v>36739</c:v>
                </c:pt>
                <c:pt idx="116">
                  <c:v>36770</c:v>
                </c:pt>
                <c:pt idx="117">
                  <c:v>36800</c:v>
                </c:pt>
                <c:pt idx="118">
                  <c:v>36831</c:v>
                </c:pt>
                <c:pt idx="119">
                  <c:v>36861</c:v>
                </c:pt>
                <c:pt idx="120">
                  <c:v>36892</c:v>
                </c:pt>
                <c:pt idx="121">
                  <c:v>36923</c:v>
                </c:pt>
                <c:pt idx="122">
                  <c:v>36951</c:v>
                </c:pt>
                <c:pt idx="123">
                  <c:v>36982</c:v>
                </c:pt>
                <c:pt idx="124">
                  <c:v>37012</c:v>
                </c:pt>
                <c:pt idx="125">
                  <c:v>37043</c:v>
                </c:pt>
                <c:pt idx="126">
                  <c:v>37073</c:v>
                </c:pt>
                <c:pt idx="127">
                  <c:v>37104</c:v>
                </c:pt>
                <c:pt idx="128">
                  <c:v>37135</c:v>
                </c:pt>
                <c:pt idx="129">
                  <c:v>37165</c:v>
                </c:pt>
                <c:pt idx="130">
                  <c:v>37196</c:v>
                </c:pt>
                <c:pt idx="131">
                  <c:v>37226</c:v>
                </c:pt>
                <c:pt idx="132">
                  <c:v>37257</c:v>
                </c:pt>
                <c:pt idx="133">
                  <c:v>37288</c:v>
                </c:pt>
                <c:pt idx="134">
                  <c:v>37316</c:v>
                </c:pt>
                <c:pt idx="135">
                  <c:v>37347</c:v>
                </c:pt>
                <c:pt idx="136">
                  <c:v>37377</c:v>
                </c:pt>
                <c:pt idx="137">
                  <c:v>37408</c:v>
                </c:pt>
                <c:pt idx="138">
                  <c:v>37438</c:v>
                </c:pt>
                <c:pt idx="139">
                  <c:v>37469</c:v>
                </c:pt>
                <c:pt idx="140">
                  <c:v>37500</c:v>
                </c:pt>
                <c:pt idx="141">
                  <c:v>37530</c:v>
                </c:pt>
                <c:pt idx="142">
                  <c:v>37561</c:v>
                </c:pt>
                <c:pt idx="143">
                  <c:v>37591</c:v>
                </c:pt>
                <c:pt idx="144">
                  <c:v>37622</c:v>
                </c:pt>
                <c:pt idx="145">
                  <c:v>37653</c:v>
                </c:pt>
                <c:pt idx="146">
                  <c:v>37681</c:v>
                </c:pt>
                <c:pt idx="147">
                  <c:v>37712</c:v>
                </c:pt>
                <c:pt idx="148">
                  <c:v>37742</c:v>
                </c:pt>
                <c:pt idx="149">
                  <c:v>37773</c:v>
                </c:pt>
                <c:pt idx="150">
                  <c:v>37803</c:v>
                </c:pt>
                <c:pt idx="151">
                  <c:v>37834</c:v>
                </c:pt>
                <c:pt idx="152">
                  <c:v>37865</c:v>
                </c:pt>
                <c:pt idx="153">
                  <c:v>37895</c:v>
                </c:pt>
                <c:pt idx="154">
                  <c:v>37926</c:v>
                </c:pt>
                <c:pt idx="155">
                  <c:v>37956</c:v>
                </c:pt>
                <c:pt idx="156">
                  <c:v>37987</c:v>
                </c:pt>
                <c:pt idx="157">
                  <c:v>38018</c:v>
                </c:pt>
                <c:pt idx="158">
                  <c:v>38047</c:v>
                </c:pt>
                <c:pt idx="159">
                  <c:v>38078</c:v>
                </c:pt>
                <c:pt idx="160">
                  <c:v>38108</c:v>
                </c:pt>
                <c:pt idx="161">
                  <c:v>38139</c:v>
                </c:pt>
                <c:pt idx="162">
                  <c:v>38169</c:v>
                </c:pt>
                <c:pt idx="163">
                  <c:v>38200</c:v>
                </c:pt>
                <c:pt idx="164">
                  <c:v>38231</c:v>
                </c:pt>
                <c:pt idx="165">
                  <c:v>38261</c:v>
                </c:pt>
                <c:pt idx="166">
                  <c:v>38292</c:v>
                </c:pt>
                <c:pt idx="167">
                  <c:v>38322</c:v>
                </c:pt>
                <c:pt idx="168">
                  <c:v>38353</c:v>
                </c:pt>
                <c:pt idx="169">
                  <c:v>38384</c:v>
                </c:pt>
                <c:pt idx="170">
                  <c:v>38412</c:v>
                </c:pt>
                <c:pt idx="171">
                  <c:v>38443</c:v>
                </c:pt>
                <c:pt idx="172">
                  <c:v>38473</c:v>
                </c:pt>
                <c:pt idx="173">
                  <c:v>38504</c:v>
                </c:pt>
                <c:pt idx="174">
                  <c:v>38534</c:v>
                </c:pt>
                <c:pt idx="175">
                  <c:v>38565</c:v>
                </c:pt>
                <c:pt idx="176">
                  <c:v>38596</c:v>
                </c:pt>
                <c:pt idx="177">
                  <c:v>38626</c:v>
                </c:pt>
                <c:pt idx="178">
                  <c:v>38657</c:v>
                </c:pt>
                <c:pt idx="179">
                  <c:v>38687</c:v>
                </c:pt>
                <c:pt idx="180">
                  <c:v>38718</c:v>
                </c:pt>
                <c:pt idx="181">
                  <c:v>38749</c:v>
                </c:pt>
                <c:pt idx="182">
                  <c:v>38777</c:v>
                </c:pt>
                <c:pt idx="183">
                  <c:v>38808</c:v>
                </c:pt>
                <c:pt idx="184">
                  <c:v>38838</c:v>
                </c:pt>
                <c:pt idx="185">
                  <c:v>38869</c:v>
                </c:pt>
                <c:pt idx="186">
                  <c:v>38899</c:v>
                </c:pt>
                <c:pt idx="187">
                  <c:v>38930</c:v>
                </c:pt>
                <c:pt idx="188">
                  <c:v>38961</c:v>
                </c:pt>
                <c:pt idx="189">
                  <c:v>38991</c:v>
                </c:pt>
                <c:pt idx="190">
                  <c:v>39022</c:v>
                </c:pt>
                <c:pt idx="191">
                  <c:v>39052</c:v>
                </c:pt>
                <c:pt idx="192">
                  <c:v>39083</c:v>
                </c:pt>
                <c:pt idx="193">
                  <c:v>39114</c:v>
                </c:pt>
                <c:pt idx="194">
                  <c:v>39142</c:v>
                </c:pt>
                <c:pt idx="195">
                  <c:v>39173</c:v>
                </c:pt>
                <c:pt idx="196">
                  <c:v>39203</c:v>
                </c:pt>
                <c:pt idx="197">
                  <c:v>39234</c:v>
                </c:pt>
                <c:pt idx="198">
                  <c:v>39264</c:v>
                </c:pt>
                <c:pt idx="199">
                  <c:v>39295</c:v>
                </c:pt>
                <c:pt idx="200">
                  <c:v>39326</c:v>
                </c:pt>
                <c:pt idx="201">
                  <c:v>39356</c:v>
                </c:pt>
                <c:pt idx="202">
                  <c:v>39387</c:v>
                </c:pt>
                <c:pt idx="203">
                  <c:v>39417</c:v>
                </c:pt>
                <c:pt idx="204">
                  <c:v>39448</c:v>
                </c:pt>
                <c:pt idx="205">
                  <c:v>39479</c:v>
                </c:pt>
                <c:pt idx="206">
                  <c:v>39508</c:v>
                </c:pt>
                <c:pt idx="207">
                  <c:v>39539</c:v>
                </c:pt>
                <c:pt idx="208">
                  <c:v>39569</c:v>
                </c:pt>
                <c:pt idx="209">
                  <c:v>39600</c:v>
                </c:pt>
                <c:pt idx="210">
                  <c:v>39630</c:v>
                </c:pt>
                <c:pt idx="211">
                  <c:v>39661</c:v>
                </c:pt>
                <c:pt idx="212">
                  <c:v>39692</c:v>
                </c:pt>
                <c:pt idx="213">
                  <c:v>39722</c:v>
                </c:pt>
                <c:pt idx="214">
                  <c:v>39753</c:v>
                </c:pt>
                <c:pt idx="215">
                  <c:v>39783</c:v>
                </c:pt>
                <c:pt idx="216">
                  <c:v>39814</c:v>
                </c:pt>
                <c:pt idx="217">
                  <c:v>39845</c:v>
                </c:pt>
                <c:pt idx="218">
                  <c:v>39873</c:v>
                </c:pt>
                <c:pt idx="219">
                  <c:v>39904</c:v>
                </c:pt>
                <c:pt idx="220">
                  <c:v>39934</c:v>
                </c:pt>
                <c:pt idx="221">
                  <c:v>39965</c:v>
                </c:pt>
                <c:pt idx="222">
                  <c:v>39995</c:v>
                </c:pt>
                <c:pt idx="223">
                  <c:v>40026</c:v>
                </c:pt>
                <c:pt idx="224">
                  <c:v>40057</c:v>
                </c:pt>
                <c:pt idx="225">
                  <c:v>40087</c:v>
                </c:pt>
                <c:pt idx="226">
                  <c:v>40118</c:v>
                </c:pt>
                <c:pt idx="227">
                  <c:v>40148</c:v>
                </c:pt>
                <c:pt idx="228">
                  <c:v>40179</c:v>
                </c:pt>
                <c:pt idx="229">
                  <c:v>40210</c:v>
                </c:pt>
                <c:pt idx="230">
                  <c:v>40238</c:v>
                </c:pt>
                <c:pt idx="231">
                  <c:v>40269</c:v>
                </c:pt>
                <c:pt idx="232">
                  <c:v>40299</c:v>
                </c:pt>
                <c:pt idx="233">
                  <c:v>40330</c:v>
                </c:pt>
                <c:pt idx="234">
                  <c:v>40360</c:v>
                </c:pt>
                <c:pt idx="235">
                  <c:v>40391</c:v>
                </c:pt>
                <c:pt idx="236">
                  <c:v>40422</c:v>
                </c:pt>
                <c:pt idx="237">
                  <c:v>40452</c:v>
                </c:pt>
                <c:pt idx="238">
                  <c:v>40483</c:v>
                </c:pt>
                <c:pt idx="239">
                  <c:v>40513</c:v>
                </c:pt>
                <c:pt idx="240">
                  <c:v>40544</c:v>
                </c:pt>
                <c:pt idx="241">
                  <c:v>40575</c:v>
                </c:pt>
                <c:pt idx="242">
                  <c:v>40603</c:v>
                </c:pt>
                <c:pt idx="243">
                  <c:v>40634</c:v>
                </c:pt>
                <c:pt idx="244">
                  <c:v>40664</c:v>
                </c:pt>
                <c:pt idx="245">
                  <c:v>40695</c:v>
                </c:pt>
                <c:pt idx="246">
                  <c:v>40725</c:v>
                </c:pt>
                <c:pt idx="247">
                  <c:v>40756</c:v>
                </c:pt>
                <c:pt idx="248">
                  <c:v>40787</c:v>
                </c:pt>
                <c:pt idx="249">
                  <c:v>40817</c:v>
                </c:pt>
                <c:pt idx="250">
                  <c:v>40848</c:v>
                </c:pt>
                <c:pt idx="251">
                  <c:v>40878</c:v>
                </c:pt>
                <c:pt idx="252">
                  <c:v>40909</c:v>
                </c:pt>
                <c:pt idx="253">
                  <c:v>40940</c:v>
                </c:pt>
                <c:pt idx="254">
                  <c:v>40969</c:v>
                </c:pt>
                <c:pt idx="255">
                  <c:v>41000</c:v>
                </c:pt>
                <c:pt idx="256">
                  <c:v>41030</c:v>
                </c:pt>
                <c:pt idx="257">
                  <c:v>41061</c:v>
                </c:pt>
                <c:pt idx="258">
                  <c:v>41091</c:v>
                </c:pt>
                <c:pt idx="259">
                  <c:v>41122</c:v>
                </c:pt>
                <c:pt idx="260">
                  <c:v>41153</c:v>
                </c:pt>
                <c:pt idx="261">
                  <c:v>41183</c:v>
                </c:pt>
                <c:pt idx="262">
                  <c:v>41214</c:v>
                </c:pt>
                <c:pt idx="263">
                  <c:v>41244</c:v>
                </c:pt>
                <c:pt idx="264">
                  <c:v>41275</c:v>
                </c:pt>
                <c:pt idx="265">
                  <c:v>41306</c:v>
                </c:pt>
                <c:pt idx="266">
                  <c:v>41334</c:v>
                </c:pt>
                <c:pt idx="267">
                  <c:v>41365</c:v>
                </c:pt>
                <c:pt idx="268">
                  <c:v>41395</c:v>
                </c:pt>
                <c:pt idx="269">
                  <c:v>41426</c:v>
                </c:pt>
                <c:pt idx="270">
                  <c:v>41456</c:v>
                </c:pt>
                <c:pt idx="271">
                  <c:v>41487</c:v>
                </c:pt>
                <c:pt idx="272">
                  <c:v>41518</c:v>
                </c:pt>
                <c:pt idx="273">
                  <c:v>41548</c:v>
                </c:pt>
                <c:pt idx="274">
                  <c:v>41579</c:v>
                </c:pt>
                <c:pt idx="275">
                  <c:v>41609</c:v>
                </c:pt>
                <c:pt idx="276">
                  <c:v>41640</c:v>
                </c:pt>
                <c:pt idx="277">
                  <c:v>41671</c:v>
                </c:pt>
                <c:pt idx="278">
                  <c:v>41699</c:v>
                </c:pt>
                <c:pt idx="279">
                  <c:v>41730</c:v>
                </c:pt>
                <c:pt idx="280">
                  <c:v>41760</c:v>
                </c:pt>
                <c:pt idx="281">
                  <c:v>41791</c:v>
                </c:pt>
                <c:pt idx="282">
                  <c:v>41821</c:v>
                </c:pt>
                <c:pt idx="283">
                  <c:v>41852</c:v>
                </c:pt>
                <c:pt idx="284">
                  <c:v>41883</c:v>
                </c:pt>
                <c:pt idx="285">
                  <c:v>41913</c:v>
                </c:pt>
                <c:pt idx="286">
                  <c:v>41944</c:v>
                </c:pt>
                <c:pt idx="287">
                  <c:v>41974</c:v>
                </c:pt>
                <c:pt idx="288">
                  <c:v>42005</c:v>
                </c:pt>
                <c:pt idx="289">
                  <c:v>42036</c:v>
                </c:pt>
                <c:pt idx="290">
                  <c:v>42064</c:v>
                </c:pt>
                <c:pt idx="291">
                  <c:v>42095</c:v>
                </c:pt>
                <c:pt idx="292">
                  <c:v>42125</c:v>
                </c:pt>
                <c:pt idx="293">
                  <c:v>42156</c:v>
                </c:pt>
                <c:pt idx="294">
                  <c:v>42186</c:v>
                </c:pt>
                <c:pt idx="295">
                  <c:v>42217</c:v>
                </c:pt>
                <c:pt idx="296">
                  <c:v>42248</c:v>
                </c:pt>
                <c:pt idx="297">
                  <c:v>42278</c:v>
                </c:pt>
                <c:pt idx="298">
                  <c:v>42309</c:v>
                </c:pt>
                <c:pt idx="299">
                  <c:v>42339</c:v>
                </c:pt>
                <c:pt idx="300">
                  <c:v>42370</c:v>
                </c:pt>
                <c:pt idx="301">
                  <c:v>42401</c:v>
                </c:pt>
                <c:pt idx="302">
                  <c:v>42430</c:v>
                </c:pt>
                <c:pt idx="303">
                  <c:v>42461</c:v>
                </c:pt>
                <c:pt idx="304">
                  <c:v>42491</c:v>
                </c:pt>
                <c:pt idx="305">
                  <c:v>42522</c:v>
                </c:pt>
                <c:pt idx="306">
                  <c:v>42552</c:v>
                </c:pt>
                <c:pt idx="307">
                  <c:v>42583</c:v>
                </c:pt>
                <c:pt idx="308">
                  <c:v>42614</c:v>
                </c:pt>
                <c:pt idx="309">
                  <c:v>42644</c:v>
                </c:pt>
                <c:pt idx="310">
                  <c:v>42675</c:v>
                </c:pt>
                <c:pt idx="311">
                  <c:v>42705</c:v>
                </c:pt>
                <c:pt idx="312">
                  <c:v>42736</c:v>
                </c:pt>
                <c:pt idx="313">
                  <c:v>42767</c:v>
                </c:pt>
                <c:pt idx="314">
                  <c:v>42795</c:v>
                </c:pt>
                <c:pt idx="315">
                  <c:v>42826</c:v>
                </c:pt>
                <c:pt idx="316">
                  <c:v>42856</c:v>
                </c:pt>
                <c:pt idx="317">
                  <c:v>42887</c:v>
                </c:pt>
                <c:pt idx="318">
                  <c:v>42917</c:v>
                </c:pt>
                <c:pt idx="319">
                  <c:v>42948</c:v>
                </c:pt>
                <c:pt idx="320">
                  <c:v>42979</c:v>
                </c:pt>
                <c:pt idx="321">
                  <c:v>43009</c:v>
                </c:pt>
                <c:pt idx="322">
                  <c:v>43040</c:v>
                </c:pt>
                <c:pt idx="323">
                  <c:v>43070</c:v>
                </c:pt>
                <c:pt idx="324">
                  <c:v>43101</c:v>
                </c:pt>
                <c:pt idx="325">
                  <c:v>43132</c:v>
                </c:pt>
                <c:pt idx="326">
                  <c:v>43160</c:v>
                </c:pt>
                <c:pt idx="327">
                  <c:v>43191</c:v>
                </c:pt>
                <c:pt idx="328">
                  <c:v>43221</c:v>
                </c:pt>
                <c:pt idx="329">
                  <c:v>43252</c:v>
                </c:pt>
                <c:pt idx="330">
                  <c:v>43282</c:v>
                </c:pt>
                <c:pt idx="331">
                  <c:v>43313</c:v>
                </c:pt>
                <c:pt idx="332">
                  <c:v>43344</c:v>
                </c:pt>
                <c:pt idx="333">
                  <c:v>43374</c:v>
                </c:pt>
                <c:pt idx="334">
                  <c:v>43405</c:v>
                </c:pt>
                <c:pt idx="335">
                  <c:v>43435</c:v>
                </c:pt>
                <c:pt idx="336">
                  <c:v>43466</c:v>
                </c:pt>
                <c:pt idx="337">
                  <c:v>43497</c:v>
                </c:pt>
                <c:pt idx="338">
                  <c:v>43525</c:v>
                </c:pt>
                <c:pt idx="339">
                  <c:v>43556</c:v>
                </c:pt>
                <c:pt idx="340">
                  <c:v>43586</c:v>
                </c:pt>
                <c:pt idx="341">
                  <c:v>43617</c:v>
                </c:pt>
                <c:pt idx="342">
                  <c:v>43647</c:v>
                </c:pt>
                <c:pt idx="343">
                  <c:v>43678</c:v>
                </c:pt>
                <c:pt idx="344">
                  <c:v>43709</c:v>
                </c:pt>
                <c:pt idx="345">
                  <c:v>43739</c:v>
                </c:pt>
                <c:pt idx="346">
                  <c:v>43770</c:v>
                </c:pt>
                <c:pt idx="347">
                  <c:v>43800</c:v>
                </c:pt>
                <c:pt idx="348">
                  <c:v>43831</c:v>
                </c:pt>
                <c:pt idx="349">
                  <c:v>43862</c:v>
                </c:pt>
                <c:pt idx="350">
                  <c:v>43891</c:v>
                </c:pt>
                <c:pt idx="351">
                  <c:v>43922</c:v>
                </c:pt>
                <c:pt idx="352">
                  <c:v>43952</c:v>
                </c:pt>
                <c:pt idx="353">
                  <c:v>43983</c:v>
                </c:pt>
                <c:pt idx="354">
                  <c:v>44013</c:v>
                </c:pt>
                <c:pt idx="355">
                  <c:v>44044</c:v>
                </c:pt>
                <c:pt idx="356">
                  <c:v>44075</c:v>
                </c:pt>
                <c:pt idx="357">
                  <c:v>44105</c:v>
                </c:pt>
                <c:pt idx="358">
                  <c:v>44136</c:v>
                </c:pt>
                <c:pt idx="359">
                  <c:v>44166</c:v>
                </c:pt>
                <c:pt idx="360">
                  <c:v>44197</c:v>
                </c:pt>
                <c:pt idx="361">
                  <c:v>44228</c:v>
                </c:pt>
                <c:pt idx="362">
                  <c:v>44256</c:v>
                </c:pt>
                <c:pt idx="363">
                  <c:v>44287</c:v>
                </c:pt>
                <c:pt idx="364">
                  <c:v>44317</c:v>
                </c:pt>
                <c:pt idx="365">
                  <c:v>44348</c:v>
                </c:pt>
                <c:pt idx="366">
                  <c:v>44378</c:v>
                </c:pt>
                <c:pt idx="367">
                  <c:v>44409</c:v>
                </c:pt>
                <c:pt idx="368">
                  <c:v>44440</c:v>
                </c:pt>
                <c:pt idx="369">
                  <c:v>44470</c:v>
                </c:pt>
                <c:pt idx="370">
                  <c:v>44501</c:v>
                </c:pt>
                <c:pt idx="371">
                  <c:v>44531</c:v>
                </c:pt>
                <c:pt idx="372">
                  <c:v>44562</c:v>
                </c:pt>
                <c:pt idx="373">
                  <c:v>44593</c:v>
                </c:pt>
                <c:pt idx="374">
                  <c:v>44621</c:v>
                </c:pt>
                <c:pt idx="375">
                  <c:v>44652</c:v>
                </c:pt>
                <c:pt idx="376">
                  <c:v>44682</c:v>
                </c:pt>
                <c:pt idx="377">
                  <c:v>44713</c:v>
                </c:pt>
                <c:pt idx="378">
                  <c:v>44743</c:v>
                </c:pt>
                <c:pt idx="379">
                  <c:v>44774</c:v>
                </c:pt>
                <c:pt idx="380">
                  <c:v>44805</c:v>
                </c:pt>
                <c:pt idx="381">
                  <c:v>44835</c:v>
                </c:pt>
                <c:pt idx="382">
                  <c:v>44866</c:v>
                </c:pt>
                <c:pt idx="383">
                  <c:v>44896</c:v>
                </c:pt>
                <c:pt idx="384">
                  <c:v>44927</c:v>
                </c:pt>
                <c:pt idx="385">
                  <c:v>44958</c:v>
                </c:pt>
                <c:pt idx="386">
                  <c:v>44986</c:v>
                </c:pt>
                <c:pt idx="387">
                  <c:v>45017</c:v>
                </c:pt>
                <c:pt idx="388">
                  <c:v>45047</c:v>
                </c:pt>
                <c:pt idx="389">
                  <c:v>45078</c:v>
                </c:pt>
                <c:pt idx="390">
                  <c:v>45108</c:v>
                </c:pt>
                <c:pt idx="391">
                  <c:v>45139</c:v>
                </c:pt>
                <c:pt idx="392">
                  <c:v>45170</c:v>
                </c:pt>
                <c:pt idx="393">
                  <c:v>45200</c:v>
                </c:pt>
                <c:pt idx="394">
                  <c:v>45231</c:v>
                </c:pt>
                <c:pt idx="395">
                  <c:v>45261</c:v>
                </c:pt>
                <c:pt idx="396">
                  <c:v>45292</c:v>
                </c:pt>
                <c:pt idx="397">
                  <c:v>45323</c:v>
                </c:pt>
                <c:pt idx="398">
                  <c:v>45352</c:v>
                </c:pt>
                <c:pt idx="399">
                  <c:v>45383</c:v>
                </c:pt>
                <c:pt idx="400">
                  <c:v>45413</c:v>
                </c:pt>
                <c:pt idx="401">
                  <c:v>45444</c:v>
                </c:pt>
                <c:pt idx="402">
                  <c:v>45474</c:v>
                </c:pt>
                <c:pt idx="403">
                  <c:v>45505</c:v>
                </c:pt>
                <c:pt idx="404">
                  <c:v>45536</c:v>
                </c:pt>
                <c:pt idx="405">
                  <c:v>45566</c:v>
                </c:pt>
                <c:pt idx="406">
                  <c:v>45597</c:v>
                </c:pt>
                <c:pt idx="407">
                  <c:v>45627</c:v>
                </c:pt>
                <c:pt idx="408">
                  <c:v>45658</c:v>
                </c:pt>
                <c:pt idx="409">
                  <c:v>45689</c:v>
                </c:pt>
                <c:pt idx="410">
                  <c:v>45717</c:v>
                </c:pt>
                <c:pt idx="411">
                  <c:v>45748</c:v>
                </c:pt>
                <c:pt idx="412">
                  <c:v>45778</c:v>
                </c:pt>
                <c:pt idx="413">
                  <c:v>45809</c:v>
                </c:pt>
                <c:pt idx="414">
                  <c:v>45839</c:v>
                </c:pt>
                <c:pt idx="415">
                  <c:v>45870</c:v>
                </c:pt>
                <c:pt idx="416">
                  <c:v>45901</c:v>
                </c:pt>
                <c:pt idx="417">
                  <c:v>45931</c:v>
                </c:pt>
                <c:pt idx="418">
                  <c:v>45962</c:v>
                </c:pt>
                <c:pt idx="419">
                  <c:v>45992</c:v>
                </c:pt>
                <c:pt idx="420">
                  <c:v>46023</c:v>
                </c:pt>
                <c:pt idx="421">
                  <c:v>46054</c:v>
                </c:pt>
                <c:pt idx="422">
                  <c:v>46082</c:v>
                </c:pt>
                <c:pt idx="423">
                  <c:v>46113</c:v>
                </c:pt>
                <c:pt idx="424">
                  <c:v>46143</c:v>
                </c:pt>
                <c:pt idx="425">
                  <c:v>46174</c:v>
                </c:pt>
                <c:pt idx="426">
                  <c:v>46204</c:v>
                </c:pt>
                <c:pt idx="427">
                  <c:v>46235</c:v>
                </c:pt>
                <c:pt idx="428">
                  <c:v>46266</c:v>
                </c:pt>
                <c:pt idx="429">
                  <c:v>46296</c:v>
                </c:pt>
                <c:pt idx="430">
                  <c:v>46327</c:v>
                </c:pt>
                <c:pt idx="431">
                  <c:v>46357</c:v>
                </c:pt>
                <c:pt idx="432">
                  <c:v>46388</c:v>
                </c:pt>
              </c:numCache>
            </c:numRef>
          </c:cat>
          <c:val>
            <c:numRef>
              <c:f>'Input Data'!$E$2:$E$434</c:f>
              <c:numCache>
                <c:formatCode>0.00</c:formatCode>
                <c:ptCount val="433"/>
                <c:pt idx="0">
                  <c:v>22.68</c:v>
                </c:pt>
                <c:pt idx="1">
                  <c:v>19.41</c:v>
                </c:pt>
                <c:pt idx="2">
                  <c:v>18.399999999999999</c:v>
                </c:pt>
                <c:pt idx="3">
                  <c:v>19.350000000000001</c:v>
                </c:pt>
                <c:pt idx="4">
                  <c:v>20.05</c:v>
                </c:pt>
                <c:pt idx="5">
                  <c:v>18.88</c:v>
                </c:pt>
                <c:pt idx="6">
                  <c:v>19.87</c:v>
                </c:pt>
                <c:pt idx="7">
                  <c:v>20.5</c:v>
                </c:pt>
                <c:pt idx="8">
                  <c:v>20.51</c:v>
                </c:pt>
                <c:pt idx="9">
                  <c:v>21.51</c:v>
                </c:pt>
                <c:pt idx="10">
                  <c:v>21.26</c:v>
                </c:pt>
                <c:pt idx="11">
                  <c:v>18.28</c:v>
                </c:pt>
                <c:pt idx="12">
                  <c:v>17.21</c:v>
                </c:pt>
                <c:pt idx="13">
                  <c:v>17.84</c:v>
                </c:pt>
                <c:pt idx="14">
                  <c:v>17.399999999999999</c:v>
                </c:pt>
                <c:pt idx="15">
                  <c:v>18.43</c:v>
                </c:pt>
                <c:pt idx="16">
                  <c:v>19.16</c:v>
                </c:pt>
                <c:pt idx="17">
                  <c:v>20.83</c:v>
                </c:pt>
                <c:pt idx="18">
                  <c:v>20.21</c:v>
                </c:pt>
                <c:pt idx="19">
                  <c:v>19.809999999999999</c:v>
                </c:pt>
                <c:pt idx="20">
                  <c:v>20.28</c:v>
                </c:pt>
                <c:pt idx="21">
                  <c:v>20.13</c:v>
                </c:pt>
                <c:pt idx="22">
                  <c:v>18.739999999999998</c:v>
                </c:pt>
                <c:pt idx="23">
                  <c:v>17.809999999999999</c:v>
                </c:pt>
                <c:pt idx="24">
                  <c:v>17.5</c:v>
                </c:pt>
                <c:pt idx="25">
                  <c:v>18.48</c:v>
                </c:pt>
                <c:pt idx="26">
                  <c:v>18.73</c:v>
                </c:pt>
                <c:pt idx="27">
                  <c:v>18.62</c:v>
                </c:pt>
                <c:pt idx="28">
                  <c:v>18.260000000000002</c:v>
                </c:pt>
                <c:pt idx="29">
                  <c:v>17.260000000000002</c:v>
                </c:pt>
                <c:pt idx="30">
                  <c:v>15.94</c:v>
                </c:pt>
                <c:pt idx="31">
                  <c:v>16.100000000000001</c:v>
                </c:pt>
                <c:pt idx="32">
                  <c:v>15.58</c:v>
                </c:pt>
                <c:pt idx="33">
                  <c:v>16.309999999999999</c:v>
                </c:pt>
                <c:pt idx="34">
                  <c:v>14.84</c:v>
                </c:pt>
                <c:pt idx="35">
                  <c:v>12.6</c:v>
                </c:pt>
                <c:pt idx="36">
                  <c:v>13.08</c:v>
                </c:pt>
                <c:pt idx="37">
                  <c:v>12.73</c:v>
                </c:pt>
                <c:pt idx="38">
                  <c:v>12.8</c:v>
                </c:pt>
                <c:pt idx="39">
                  <c:v>14.47</c:v>
                </c:pt>
                <c:pt idx="40">
                  <c:v>16.329999999999998</c:v>
                </c:pt>
                <c:pt idx="41">
                  <c:v>17.54</c:v>
                </c:pt>
                <c:pt idx="42">
                  <c:v>18.05</c:v>
                </c:pt>
                <c:pt idx="43">
                  <c:v>16.489999999999998</c:v>
                </c:pt>
                <c:pt idx="44">
                  <c:v>15.48</c:v>
                </c:pt>
                <c:pt idx="45">
                  <c:v>15.78</c:v>
                </c:pt>
                <c:pt idx="46">
                  <c:v>16.190000000000001</c:v>
                </c:pt>
                <c:pt idx="47">
                  <c:v>15.23</c:v>
                </c:pt>
                <c:pt idx="48">
                  <c:v>16.13</c:v>
                </c:pt>
                <c:pt idx="49">
                  <c:v>16.88</c:v>
                </c:pt>
                <c:pt idx="50">
                  <c:v>16.62</c:v>
                </c:pt>
                <c:pt idx="51">
                  <c:v>17.93</c:v>
                </c:pt>
                <c:pt idx="52">
                  <c:v>17.670000000000002</c:v>
                </c:pt>
                <c:pt idx="53">
                  <c:v>16.48</c:v>
                </c:pt>
                <c:pt idx="54">
                  <c:v>15.26</c:v>
                </c:pt>
                <c:pt idx="55">
                  <c:v>16.03</c:v>
                </c:pt>
                <c:pt idx="56">
                  <c:v>16.3</c:v>
                </c:pt>
                <c:pt idx="57">
                  <c:v>15.45</c:v>
                </c:pt>
                <c:pt idx="58">
                  <c:v>16.02</c:v>
                </c:pt>
                <c:pt idx="59">
                  <c:v>17.23</c:v>
                </c:pt>
                <c:pt idx="60">
                  <c:v>17.100000000000001</c:v>
                </c:pt>
                <c:pt idx="61">
                  <c:v>16.96</c:v>
                </c:pt>
                <c:pt idx="62">
                  <c:v>19.329999999999998</c:v>
                </c:pt>
                <c:pt idx="63">
                  <c:v>21.52</c:v>
                </c:pt>
                <c:pt idx="64">
                  <c:v>19.27</c:v>
                </c:pt>
                <c:pt idx="65">
                  <c:v>18.579999999999998</c:v>
                </c:pt>
                <c:pt idx="66">
                  <c:v>19.45</c:v>
                </c:pt>
                <c:pt idx="67">
                  <c:v>20.09</c:v>
                </c:pt>
                <c:pt idx="68">
                  <c:v>21.98</c:v>
                </c:pt>
                <c:pt idx="69">
                  <c:v>23.06</c:v>
                </c:pt>
                <c:pt idx="70">
                  <c:v>21.73</c:v>
                </c:pt>
                <c:pt idx="71">
                  <c:v>23.13</c:v>
                </c:pt>
                <c:pt idx="72" formatCode="#,##0.00">
                  <c:v>23.23</c:v>
                </c:pt>
                <c:pt idx="73" formatCode="#,##0.00">
                  <c:v>20.21</c:v>
                </c:pt>
                <c:pt idx="74" formatCode="#,##0.00">
                  <c:v>18.82</c:v>
                </c:pt>
                <c:pt idx="75" formatCode="#,##0.00">
                  <c:v>17.73</c:v>
                </c:pt>
                <c:pt idx="76" formatCode="#,##0.00">
                  <c:v>18.71</c:v>
                </c:pt>
                <c:pt idx="77" formatCode="#,##0.00">
                  <c:v>16.91</c:v>
                </c:pt>
                <c:pt idx="78" formatCode="#,##0.00">
                  <c:v>17.27</c:v>
                </c:pt>
                <c:pt idx="79" formatCode="#,##0.00">
                  <c:v>17.5</c:v>
                </c:pt>
                <c:pt idx="80" formatCode="#,##0.00">
                  <c:v>17.38</c:v>
                </c:pt>
                <c:pt idx="81" formatCode="#,##0.00">
                  <c:v>18.91</c:v>
                </c:pt>
                <c:pt idx="82" formatCode="#,##0.00">
                  <c:v>17.73</c:v>
                </c:pt>
                <c:pt idx="83" formatCode="#,##0.00">
                  <c:v>15.94</c:v>
                </c:pt>
                <c:pt idx="84">
                  <c:v>14.29</c:v>
                </c:pt>
                <c:pt idx="85">
                  <c:v>13.62</c:v>
                </c:pt>
                <c:pt idx="86">
                  <c:v>12.48</c:v>
                </c:pt>
                <c:pt idx="87">
                  <c:v>12.88</c:v>
                </c:pt>
                <c:pt idx="88">
                  <c:v>12.27</c:v>
                </c:pt>
                <c:pt idx="89">
                  <c:v>10.78</c:v>
                </c:pt>
                <c:pt idx="90">
                  <c:v>11.24</c:v>
                </c:pt>
                <c:pt idx="91">
                  <c:v>10.63</c:v>
                </c:pt>
                <c:pt idx="92">
                  <c:v>12.13</c:v>
                </c:pt>
                <c:pt idx="93">
                  <c:v>11.62</c:v>
                </c:pt>
                <c:pt idx="94">
                  <c:v>10.09</c:v>
                </c:pt>
                <c:pt idx="95">
                  <c:v>8.35</c:v>
                </c:pt>
                <c:pt idx="96">
                  <c:v>9.6</c:v>
                </c:pt>
                <c:pt idx="97">
                  <c:v>9.0399999999999991</c:v>
                </c:pt>
                <c:pt idx="98">
                  <c:v>11.79</c:v>
                </c:pt>
                <c:pt idx="99">
                  <c:v>14.36</c:v>
                </c:pt>
                <c:pt idx="100">
                  <c:v>14.94</c:v>
                </c:pt>
                <c:pt idx="101">
                  <c:v>15.06</c:v>
                </c:pt>
                <c:pt idx="102">
                  <c:v>17.18</c:v>
                </c:pt>
                <c:pt idx="103">
                  <c:v>18.27</c:v>
                </c:pt>
                <c:pt idx="104">
                  <c:v>20.69</c:v>
                </c:pt>
                <c:pt idx="105" formatCode="General">
                  <c:v>19.649999999999999</c:v>
                </c:pt>
                <c:pt idx="106">
                  <c:v>21.99</c:v>
                </c:pt>
                <c:pt idx="107">
                  <c:v>22.96</c:v>
                </c:pt>
                <c:pt idx="108">
                  <c:v>23.83</c:v>
                </c:pt>
                <c:pt idx="109">
                  <c:v>26.29</c:v>
                </c:pt>
                <c:pt idx="110">
                  <c:v>26.94</c:v>
                </c:pt>
                <c:pt idx="111">
                  <c:v>22.49</c:v>
                </c:pt>
                <c:pt idx="112">
                  <c:v>25.81</c:v>
                </c:pt>
                <c:pt idx="113">
                  <c:v>28.324999999999999</c:v>
                </c:pt>
                <c:pt idx="114">
                  <c:v>26.9</c:v>
                </c:pt>
                <c:pt idx="115">
                  <c:v>27.98</c:v>
                </c:pt>
                <c:pt idx="116">
                  <c:v>30.61</c:v>
                </c:pt>
                <c:pt idx="117">
                  <c:v>29.71</c:v>
                </c:pt>
                <c:pt idx="118">
                  <c:v>31.2</c:v>
                </c:pt>
                <c:pt idx="119">
                  <c:v>25.14</c:v>
                </c:pt>
                <c:pt idx="120">
                  <c:v>26.15</c:v>
                </c:pt>
                <c:pt idx="121">
                  <c:v>26.46</c:v>
                </c:pt>
                <c:pt idx="122">
                  <c:v>23.97</c:v>
                </c:pt>
                <c:pt idx="123">
                  <c:v>24.18</c:v>
                </c:pt>
                <c:pt idx="124">
                  <c:v>25.27</c:v>
                </c:pt>
                <c:pt idx="125">
                  <c:v>24.13</c:v>
                </c:pt>
                <c:pt idx="126">
                  <c:v>23.06</c:v>
                </c:pt>
                <c:pt idx="127">
                  <c:v>23.83</c:v>
                </c:pt>
                <c:pt idx="128">
                  <c:v>22.8</c:v>
                </c:pt>
                <c:pt idx="129">
                  <c:v>18.73</c:v>
                </c:pt>
                <c:pt idx="130">
                  <c:v>16.2</c:v>
                </c:pt>
                <c:pt idx="131">
                  <c:v>15.95</c:v>
                </c:pt>
                <c:pt idx="132">
                  <c:v>16.21</c:v>
                </c:pt>
                <c:pt idx="133">
                  <c:v>17.29</c:v>
                </c:pt>
                <c:pt idx="134">
                  <c:v>20.98</c:v>
                </c:pt>
                <c:pt idx="135">
                  <c:v>22.61</c:v>
                </c:pt>
                <c:pt idx="136">
                  <c:v>23.45</c:v>
                </c:pt>
                <c:pt idx="137">
                  <c:v>22.074999999999999</c:v>
                </c:pt>
                <c:pt idx="138">
                  <c:v>23.44</c:v>
                </c:pt>
                <c:pt idx="139">
                  <c:v>24.6</c:v>
                </c:pt>
                <c:pt idx="140">
                  <c:v>26.16</c:v>
                </c:pt>
                <c:pt idx="141">
                  <c:v>25.36</c:v>
                </c:pt>
                <c:pt idx="142">
                  <c:v>22.76</c:v>
                </c:pt>
                <c:pt idx="143">
                  <c:v>25.93</c:v>
                </c:pt>
                <c:pt idx="144">
                  <c:v>29.25</c:v>
                </c:pt>
                <c:pt idx="145">
                  <c:v>32.11</c:v>
                </c:pt>
                <c:pt idx="146">
                  <c:v>29.7</c:v>
                </c:pt>
                <c:pt idx="147">
                  <c:v>24.73</c:v>
                </c:pt>
                <c:pt idx="148">
                  <c:v>24.59</c:v>
                </c:pt>
                <c:pt idx="149">
                  <c:v>26.96</c:v>
                </c:pt>
                <c:pt idx="150">
                  <c:v>27.23</c:v>
                </c:pt>
                <c:pt idx="151">
                  <c:v>28.1</c:v>
                </c:pt>
                <c:pt idx="152">
                  <c:v>24.82</c:v>
                </c:pt>
                <c:pt idx="153">
                  <c:v>26.93</c:v>
                </c:pt>
                <c:pt idx="154">
                  <c:v>27.4</c:v>
                </c:pt>
                <c:pt idx="155">
                  <c:v>28.71</c:v>
                </c:pt>
                <c:pt idx="156">
                  <c:v>30.55</c:v>
                </c:pt>
                <c:pt idx="157">
                  <c:v>30.94</c:v>
                </c:pt>
                <c:pt idx="158">
                  <c:v>33.22</c:v>
                </c:pt>
                <c:pt idx="159">
                  <c:v>33.07</c:v>
                </c:pt>
                <c:pt idx="160">
                  <c:v>36.520000000000003</c:v>
                </c:pt>
                <c:pt idx="161">
                  <c:v>34.6</c:v>
                </c:pt>
                <c:pt idx="162">
                  <c:v>37.159999999999997</c:v>
                </c:pt>
                <c:pt idx="163">
                  <c:v>41.42</c:v>
                </c:pt>
                <c:pt idx="164">
                  <c:v>42.13</c:v>
                </c:pt>
                <c:pt idx="165">
                  <c:v>49.56</c:v>
                </c:pt>
                <c:pt idx="166">
                  <c:v>45.024999999999999</c:v>
                </c:pt>
                <c:pt idx="167">
                  <c:v>39.78</c:v>
                </c:pt>
                <c:pt idx="168">
                  <c:v>43.22</c:v>
                </c:pt>
                <c:pt idx="169">
                  <c:v>44.57</c:v>
                </c:pt>
                <c:pt idx="170">
                  <c:v>51.14</c:v>
                </c:pt>
                <c:pt idx="171">
                  <c:v>49.74</c:v>
                </c:pt>
                <c:pt idx="172">
                  <c:v>46</c:v>
                </c:pt>
                <c:pt idx="173">
                  <c:v>52.64</c:v>
                </c:pt>
                <c:pt idx="174">
                  <c:v>55.15</c:v>
                </c:pt>
                <c:pt idx="175">
                  <c:v>61.15</c:v>
                </c:pt>
                <c:pt idx="176">
                  <c:v>61.5</c:v>
                </c:pt>
                <c:pt idx="177">
                  <c:v>58.44</c:v>
                </c:pt>
                <c:pt idx="178">
                  <c:v>54.39</c:v>
                </c:pt>
                <c:pt idx="179">
                  <c:v>55.37</c:v>
                </c:pt>
                <c:pt idx="180">
                  <c:v>61.4</c:v>
                </c:pt>
                <c:pt idx="181">
                  <c:v>57.97</c:v>
                </c:pt>
                <c:pt idx="182">
                  <c:v>58.95</c:v>
                </c:pt>
                <c:pt idx="183">
                  <c:v>66.209999999999994</c:v>
                </c:pt>
                <c:pt idx="184">
                  <c:v>66.930000000000007</c:v>
                </c:pt>
                <c:pt idx="185">
                  <c:v>67.14</c:v>
                </c:pt>
                <c:pt idx="186">
                  <c:v>70.540000000000006</c:v>
                </c:pt>
                <c:pt idx="187">
                  <c:v>69.23</c:v>
                </c:pt>
                <c:pt idx="188">
                  <c:v>60.38</c:v>
                </c:pt>
                <c:pt idx="189">
                  <c:v>55.34</c:v>
                </c:pt>
                <c:pt idx="190">
                  <c:v>55.2333</c:v>
                </c:pt>
                <c:pt idx="191">
                  <c:v>58.32</c:v>
                </c:pt>
                <c:pt idx="192">
                  <c:v>50.781999999999996</c:v>
                </c:pt>
                <c:pt idx="193">
                  <c:v>55.62</c:v>
                </c:pt>
                <c:pt idx="194">
                  <c:v>56.895200000000003</c:v>
                </c:pt>
                <c:pt idx="195">
                  <c:v>60.325000000000003</c:v>
                </c:pt>
                <c:pt idx="196">
                  <c:v>55.62</c:v>
                </c:pt>
                <c:pt idx="197">
                  <c:v>63.5</c:v>
                </c:pt>
                <c:pt idx="198">
                  <c:v>70.22</c:v>
                </c:pt>
                <c:pt idx="199">
                  <c:v>68.48</c:v>
                </c:pt>
                <c:pt idx="200">
                  <c:v>75.19</c:v>
                </c:pt>
                <c:pt idx="201">
                  <c:v>81.86</c:v>
                </c:pt>
                <c:pt idx="202">
                  <c:v>91.16</c:v>
                </c:pt>
                <c:pt idx="203">
                  <c:v>87.71</c:v>
                </c:pt>
                <c:pt idx="204">
                  <c:v>89.45</c:v>
                </c:pt>
                <c:pt idx="205">
                  <c:v>90.89</c:v>
                </c:pt>
                <c:pt idx="206">
                  <c:v>101.14</c:v>
                </c:pt>
                <c:pt idx="207">
                  <c:v>108.56</c:v>
                </c:pt>
                <c:pt idx="208">
                  <c:v>121.65</c:v>
                </c:pt>
                <c:pt idx="209">
                  <c:v>130.57</c:v>
                </c:pt>
                <c:pt idx="210">
                  <c:v>130.41</c:v>
                </c:pt>
                <c:pt idx="211">
                  <c:v>112.72</c:v>
                </c:pt>
                <c:pt idx="212">
                  <c:v>100.38</c:v>
                </c:pt>
                <c:pt idx="213">
                  <c:v>72.75</c:v>
                </c:pt>
                <c:pt idx="214">
                  <c:v>53.54</c:v>
                </c:pt>
                <c:pt idx="215">
                  <c:v>37.185499999999998</c:v>
                </c:pt>
                <c:pt idx="216">
                  <c:v>37.950000000000003</c:v>
                </c:pt>
                <c:pt idx="217">
                  <c:v>35.380000000000003</c:v>
                </c:pt>
                <c:pt idx="218">
                  <c:v>44.11</c:v>
                </c:pt>
                <c:pt idx="219">
                  <c:v>46.43</c:v>
                </c:pt>
                <c:pt idx="220">
                  <c:v>55.27</c:v>
                </c:pt>
                <c:pt idx="221">
                  <c:v>65.7</c:v>
                </c:pt>
                <c:pt idx="222">
                  <c:v>60.41</c:v>
                </c:pt>
                <c:pt idx="223">
                  <c:v>67.05</c:v>
                </c:pt>
                <c:pt idx="224">
                  <c:v>65.23</c:v>
                </c:pt>
                <c:pt idx="225">
                  <c:v>71.67</c:v>
                </c:pt>
                <c:pt idx="226">
                  <c:v>73.67</c:v>
                </c:pt>
                <c:pt idx="227">
                  <c:v>70.569999999999993</c:v>
                </c:pt>
                <c:pt idx="228">
                  <c:v>74.069999999999993</c:v>
                </c:pt>
                <c:pt idx="229">
                  <c:v>72.28</c:v>
                </c:pt>
                <c:pt idx="230">
                  <c:v>77.150000000000006</c:v>
                </c:pt>
                <c:pt idx="231">
                  <c:v>80.5</c:v>
                </c:pt>
                <c:pt idx="232">
                  <c:v>70.510000000000005</c:v>
                </c:pt>
                <c:pt idx="233">
                  <c:v>71.36</c:v>
                </c:pt>
                <c:pt idx="234">
                  <c:v>72.150000000000006</c:v>
                </c:pt>
                <c:pt idx="235">
                  <c:v>72.59</c:v>
                </c:pt>
                <c:pt idx="236">
                  <c:v>71.41</c:v>
                </c:pt>
                <c:pt idx="237">
                  <c:v>77.89</c:v>
                </c:pt>
                <c:pt idx="238">
                  <c:v>80.239999999999995</c:v>
                </c:pt>
                <c:pt idx="239">
                  <c:v>85.25</c:v>
                </c:pt>
                <c:pt idx="240">
                  <c:v>85.69</c:v>
                </c:pt>
                <c:pt idx="241">
                  <c:v>85.59</c:v>
                </c:pt>
                <c:pt idx="242">
                  <c:v>98.99</c:v>
                </c:pt>
                <c:pt idx="243">
                  <c:v>106.38</c:v>
                </c:pt>
                <c:pt idx="244">
                  <c:v>97.15</c:v>
                </c:pt>
                <c:pt idx="245">
                  <c:v>92.18</c:v>
                </c:pt>
                <c:pt idx="246">
                  <c:v>93.06</c:v>
                </c:pt>
                <c:pt idx="247">
                  <c:v>81.95</c:v>
                </c:pt>
                <c:pt idx="248">
                  <c:v>81.569999999999993</c:v>
                </c:pt>
                <c:pt idx="249">
                  <c:v>83.23</c:v>
                </c:pt>
                <c:pt idx="250">
                  <c:v>96.88</c:v>
                </c:pt>
                <c:pt idx="251">
                  <c:v>98.55</c:v>
                </c:pt>
                <c:pt idx="252">
                  <c:v>98.71</c:v>
                </c:pt>
                <c:pt idx="253">
                  <c:v>100.8</c:v>
                </c:pt>
                <c:pt idx="254">
                  <c:v>104.81</c:v>
                </c:pt>
                <c:pt idx="255">
                  <c:v>102.62</c:v>
                </c:pt>
                <c:pt idx="256">
                  <c:v>93.44</c:v>
                </c:pt>
                <c:pt idx="257">
                  <c:v>81.319999999999993</c:v>
                </c:pt>
                <c:pt idx="258">
                  <c:v>86.69</c:v>
                </c:pt>
                <c:pt idx="259">
                  <c:v>92.88</c:v>
                </c:pt>
                <c:pt idx="260">
                  <c:v>93.63</c:v>
                </c:pt>
                <c:pt idx="261">
                  <c:v>88.26</c:v>
                </c:pt>
                <c:pt idx="262">
                  <c:v>85.41</c:v>
                </c:pt>
                <c:pt idx="263">
                  <c:v>86.96</c:v>
                </c:pt>
                <c:pt idx="264">
                  <c:v>93.37</c:v>
                </c:pt>
                <c:pt idx="265">
                  <c:v>94.15</c:v>
                </c:pt>
                <c:pt idx="266">
                  <c:v>91.98</c:v>
                </c:pt>
                <c:pt idx="267">
                  <c:v>90.59</c:v>
                </c:pt>
                <c:pt idx="268">
                  <c:v>93.68</c:v>
                </c:pt>
                <c:pt idx="269">
                  <c:v>93.56</c:v>
                </c:pt>
                <c:pt idx="270">
                  <c:v>102.27</c:v>
                </c:pt>
                <c:pt idx="271">
                  <c:v>103.44</c:v>
                </c:pt>
                <c:pt idx="272">
                  <c:v>102.38</c:v>
                </c:pt>
                <c:pt idx="273">
                  <c:v>96.19</c:v>
                </c:pt>
                <c:pt idx="274">
                  <c:v>89.13</c:v>
                </c:pt>
                <c:pt idx="275">
                  <c:v>91.65</c:v>
                </c:pt>
                <c:pt idx="276">
                  <c:v>88.56</c:v>
                </c:pt>
                <c:pt idx="277">
                  <c:v>94.18</c:v>
                </c:pt>
                <c:pt idx="278">
                  <c:v>95.22</c:v>
                </c:pt>
                <c:pt idx="279">
                  <c:v>96.94</c:v>
                </c:pt>
                <c:pt idx="280">
                  <c:v>95.06</c:v>
                </c:pt>
                <c:pt idx="281">
                  <c:v>97.93</c:v>
                </c:pt>
                <c:pt idx="282">
                  <c:v>95.2</c:v>
                </c:pt>
                <c:pt idx="283">
                  <c:v>88.93</c:v>
                </c:pt>
                <c:pt idx="284">
                  <c:v>85.83</c:v>
                </c:pt>
                <c:pt idx="285">
                  <c:v>77.19</c:v>
                </c:pt>
                <c:pt idx="286">
                  <c:v>68.39</c:v>
                </c:pt>
                <c:pt idx="287">
                  <c:v>51.74</c:v>
                </c:pt>
                <c:pt idx="288">
                  <c:v>40.78</c:v>
                </c:pt>
                <c:pt idx="289">
                  <c:v>44.34</c:v>
                </c:pt>
                <c:pt idx="290">
                  <c:v>41.23</c:v>
                </c:pt>
                <c:pt idx="291">
                  <c:v>47.58</c:v>
                </c:pt>
                <c:pt idx="292">
                  <c:v>52.95</c:v>
                </c:pt>
                <c:pt idx="293">
                  <c:v>53.22</c:v>
                </c:pt>
                <c:pt idx="294">
                  <c:v>44.91</c:v>
                </c:pt>
                <c:pt idx="295">
                  <c:v>36.68</c:v>
                </c:pt>
                <c:pt idx="296">
                  <c:v>38.92</c:v>
                </c:pt>
                <c:pt idx="297">
                  <c:v>39.869999999999997</c:v>
                </c:pt>
                <c:pt idx="298">
                  <c:v>36.26</c:v>
                </c:pt>
                <c:pt idx="299">
                  <c:v>31.69</c:v>
                </c:pt>
                <c:pt idx="300">
                  <c:v>26.78</c:v>
                </c:pt>
                <c:pt idx="301">
                  <c:v>25.09</c:v>
                </c:pt>
                <c:pt idx="302">
                  <c:v>32.619999999999997</c:v>
                </c:pt>
                <c:pt idx="303">
                  <c:v>35.520000000000003</c:v>
                </c:pt>
                <c:pt idx="304">
                  <c:v>41.4</c:v>
                </c:pt>
                <c:pt idx="305">
                  <c:v>43.15</c:v>
                </c:pt>
                <c:pt idx="306">
                  <c:v>39.56</c:v>
                </c:pt>
                <c:pt idx="307">
                  <c:v>39</c:v>
                </c:pt>
                <c:pt idx="308">
                  <c:v>39</c:v>
                </c:pt>
                <c:pt idx="309">
                  <c:v>43.79</c:v>
                </c:pt>
                <c:pt idx="310">
                  <c:v>39.520000000000003</c:v>
                </c:pt>
                <c:pt idx="311">
                  <c:v>46.11</c:v>
                </c:pt>
                <c:pt idx="312">
                  <c:v>46.73</c:v>
                </c:pt>
                <c:pt idx="313">
                  <c:v>47.54</c:v>
                </c:pt>
                <c:pt idx="314">
                  <c:v>43.65</c:v>
                </c:pt>
                <c:pt idx="315">
                  <c:v>45.11</c:v>
                </c:pt>
                <c:pt idx="316">
                  <c:v>42.55</c:v>
                </c:pt>
                <c:pt idx="317">
                  <c:v>39.200000000000003</c:v>
                </c:pt>
                <c:pt idx="318">
                  <c:v>40.4</c:v>
                </c:pt>
                <c:pt idx="319">
                  <c:v>41.93</c:v>
                </c:pt>
                <c:pt idx="320">
                  <c:v>43.31</c:v>
                </c:pt>
                <c:pt idx="321">
                  <c:v>45.3</c:v>
                </c:pt>
                <c:pt idx="322">
                  <c:v>50.53</c:v>
                </c:pt>
                <c:pt idx="323">
                  <c:v>51.85</c:v>
                </c:pt>
                <c:pt idx="324">
                  <c:v>57.36</c:v>
                </c:pt>
                <c:pt idx="325">
                  <c:v>55.97</c:v>
                </c:pt>
                <c:pt idx="326">
                  <c:v>56.69</c:v>
                </c:pt>
                <c:pt idx="327">
                  <c:v>60.05</c:v>
                </c:pt>
                <c:pt idx="328">
                  <c:v>63.62</c:v>
                </c:pt>
                <c:pt idx="329">
                  <c:v>61</c:v>
                </c:pt>
                <c:pt idx="330">
                  <c:v>64.64</c:v>
                </c:pt>
                <c:pt idx="331">
                  <c:v>61.54</c:v>
                </c:pt>
                <c:pt idx="332">
                  <c:v>63.81</c:v>
                </c:pt>
                <c:pt idx="333">
                  <c:v>64.459999999999994</c:v>
                </c:pt>
                <c:pt idx="334">
                  <c:v>50.59</c:v>
                </c:pt>
                <c:pt idx="335">
                  <c:v>42.57</c:v>
                </c:pt>
                <c:pt idx="336">
                  <c:v>45.22</c:v>
                </c:pt>
                <c:pt idx="337">
                  <c:v>48.79</c:v>
                </c:pt>
                <c:pt idx="338">
                  <c:v>51.82</c:v>
                </c:pt>
                <c:pt idx="339">
                  <c:v>57.53</c:v>
                </c:pt>
                <c:pt idx="340">
                  <c:v>54.63</c:v>
                </c:pt>
                <c:pt idx="341">
                  <c:v>48.59</c:v>
                </c:pt>
                <c:pt idx="342">
                  <c:v>51.23</c:v>
                </c:pt>
                <c:pt idx="343">
                  <c:v>48.58</c:v>
                </c:pt>
                <c:pt idx="344">
                  <c:v>50.424999999999997</c:v>
                </c:pt>
                <c:pt idx="345">
                  <c:v>47.86</c:v>
                </c:pt>
                <c:pt idx="346">
                  <c:v>50.83</c:v>
                </c:pt>
                <c:pt idx="347">
                  <c:v>53.56</c:v>
                </c:pt>
                <c:pt idx="348">
                  <c:v>51.71</c:v>
                </c:pt>
                <c:pt idx="349">
                  <c:v>44.47</c:v>
                </c:pt>
                <c:pt idx="350">
                  <c:v>24.33</c:v>
                </c:pt>
                <c:pt idx="351">
                  <c:v>11.93</c:v>
                </c:pt>
                <c:pt idx="352">
                  <c:v>22.42</c:v>
                </c:pt>
                <c:pt idx="353">
                  <c:v>32.1</c:v>
                </c:pt>
                <c:pt idx="354">
                  <c:v>34.5</c:v>
                </c:pt>
                <c:pt idx="355">
                  <c:v>35.93</c:v>
                </c:pt>
                <c:pt idx="356">
                  <c:v>33.35</c:v>
                </c:pt>
                <c:pt idx="357">
                  <c:v>33.19</c:v>
                </c:pt>
                <c:pt idx="358">
                  <c:v>35</c:v>
                </c:pt>
                <c:pt idx="359">
                  <c:v>40.959699999999998</c:v>
                </c:pt>
                <c:pt idx="360">
                  <c:v>45.53</c:v>
                </c:pt>
                <c:pt idx="361">
                  <c:v>52.857100000000003</c:v>
                </c:pt>
                <c:pt idx="362">
                  <c:v>56.378999999999998</c:v>
                </c:pt>
                <c:pt idx="363">
                  <c:v>55.357999999999997</c:v>
                </c:pt>
                <c:pt idx="364">
                  <c:v>58.8065</c:v>
                </c:pt>
                <c:pt idx="365">
                  <c:v>65.125</c:v>
                </c:pt>
                <c:pt idx="366">
                  <c:v>66.5565</c:v>
                </c:pt>
                <c:pt idx="367">
                  <c:v>61.459699999999998</c:v>
                </c:pt>
                <c:pt idx="368">
                  <c:v>65.125</c:v>
                </c:pt>
                <c:pt idx="369">
                  <c:v>74.862899999999996</c:v>
                </c:pt>
                <c:pt idx="370">
                  <c:v>71.833299999999994</c:v>
                </c:pt>
                <c:pt idx="371">
                  <c:v>65.209699999999998</c:v>
                </c:pt>
                <c:pt idx="372">
                  <c:v>76.674999999999997</c:v>
                </c:pt>
                <c:pt idx="373">
                  <c:v>85.367999999999995</c:v>
                </c:pt>
                <c:pt idx="374">
                  <c:v>102.6613</c:v>
                </c:pt>
                <c:pt idx="375">
                  <c:v>95.36</c:v>
                </c:pt>
                <c:pt idx="376">
                  <c:v>103.76609999999999</c:v>
                </c:pt>
                <c:pt idx="377">
                  <c:v>107.85</c:v>
                </c:pt>
                <c:pt idx="378">
                  <c:v>93.887100000000004</c:v>
                </c:pt>
                <c:pt idx="379">
                  <c:v>85.161299999999997</c:v>
                </c:pt>
                <c:pt idx="380">
                  <c:v>77.7667</c:v>
                </c:pt>
                <c:pt idx="381">
                  <c:v>80.516099999999994</c:v>
                </c:pt>
                <c:pt idx="382">
                  <c:v>77.808300000000003</c:v>
                </c:pt>
                <c:pt idx="383">
                  <c:v>70.411299999999997</c:v>
                </c:pt>
                <c:pt idx="384">
                  <c:v>72.201599999999999</c:v>
                </c:pt>
                <c:pt idx="385">
                  <c:v>70.428600000000003</c:v>
                </c:pt>
                <c:pt idx="386">
                  <c:v>67.02</c:v>
                </c:pt>
                <c:pt idx="387">
                  <c:v>72.966700000000003</c:v>
                </c:pt>
                <c:pt idx="388">
                  <c:v>65.346800000000002</c:v>
                </c:pt>
                <c:pt idx="389">
                  <c:v>64.150000000000006</c:v>
                </c:pt>
                <c:pt idx="390">
                  <c:v>69.379000000000005</c:v>
                </c:pt>
                <c:pt idx="391">
                  <c:v>75.153199999999998</c:v>
                </c:pt>
                <c:pt idx="392">
                  <c:v>82.825000000000003</c:v>
                </c:pt>
                <c:pt idx="393">
                  <c:v>79.548400000000001</c:v>
                </c:pt>
                <c:pt idx="394">
                  <c:v>71.066699999999997</c:v>
                </c:pt>
                <c:pt idx="395">
                  <c:v>65.983900000000006</c:v>
                </c:pt>
                <c:pt idx="396">
                  <c:v>67.629000000000005</c:v>
                </c:pt>
                <c:pt idx="397">
                  <c:v>70.301699999999997</c:v>
                </c:pt>
                <c:pt idx="398">
                  <c:v>74.274199999999993</c:v>
                </c:pt>
                <c:pt idx="399">
                  <c:v>78.258300000000006</c:v>
                </c:pt>
                <c:pt idx="400">
                  <c:v>72.314499999999995</c:v>
                </c:pt>
                <c:pt idx="401">
                  <c:v>72.525000000000006</c:v>
                </c:pt>
                <c:pt idx="402">
                  <c:v>74.403199999999998</c:v>
                </c:pt>
                <c:pt idx="403">
                  <c:v>69.112899999999996</c:v>
                </c:pt>
                <c:pt idx="404">
                  <c:v>63.333300000000001</c:v>
                </c:pt>
                <c:pt idx="405">
                  <c:v>65.596800000000002</c:v>
                </c:pt>
                <c:pt idx="406">
                  <c:v>63.191699999999997</c:v>
                </c:pt>
                <c:pt idx="407">
                  <c:v>63.378999999999998</c:v>
                </c:pt>
                <c:pt idx="408">
                  <c:v>68.983900000000006</c:v>
                </c:pt>
                <c:pt idx="409">
                  <c:v>64.919600000000003</c:v>
                </c:pt>
                <c:pt idx="410">
                  <c:v>61.790300000000002</c:v>
                </c:pt>
                <c:pt idx="411">
                  <c:v>56.691699999999997</c:v>
                </c:pt>
                <c:pt idx="412">
                  <c:v>54.661299999999997</c:v>
                </c:pt>
                <c:pt idx="413">
                  <c:v>61.674999999999997</c:v>
                </c:pt>
                <c:pt idx="414">
                  <c:v>60.862900000000003</c:v>
                </c:pt>
                <c:pt idx="415">
                  <c:v>57.862900000000003</c:v>
                </c:pt>
                <c:pt idx="416">
                  <c:v>57.208300000000001</c:v>
                </c:pt>
                <c:pt idx="417">
                  <c:v>53.709699999999998</c:v>
                </c:pt>
                <c:pt idx="418">
                  <c:v>53.183300000000003</c:v>
                </c:pt>
                <c:pt idx="419">
                  <c:v>51.580599999999997</c:v>
                </c:pt>
                <c:pt idx="420">
                  <c:v>53.7742</c:v>
                </c:pt>
                <c:pt idx="421">
                  <c:v>58.258899999999997</c:v>
                </c:pt>
                <c:pt idx="422">
                  <c:v>85.477400000000003</c:v>
                </c:pt>
                <c:pt idx="423">
                  <c:v>91.85</c:v>
                </c:pt>
                <c:pt idx="424">
                  <c:v>91.822599999999994</c:v>
                </c:pt>
                <c:pt idx="425">
                  <c:v>74.958299999999994</c:v>
                </c:pt>
                <c:pt idx="426">
                  <c:v>72.298400000000001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97-4CF5-8160-1F5CDBA2DD3D}"/>
            </c:ext>
          </c:extLst>
        </c:ser>
        <c:ser>
          <c:idx val="2"/>
          <c:order val="2"/>
          <c:tx>
            <c:v>Oil WOR</c:v>
          </c:tx>
          <c:spPr>
            <a:ln w="158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numRef>
              <c:f>'Input Data'!$A$2:$A$434</c:f>
              <c:numCache>
                <c:formatCode>[$-409]mmm\-yy;@</c:formatCode>
                <c:ptCount val="433"/>
                <c:pt idx="0">
                  <c:v>33239</c:v>
                </c:pt>
                <c:pt idx="1">
                  <c:v>33270</c:v>
                </c:pt>
                <c:pt idx="2">
                  <c:v>33298</c:v>
                </c:pt>
                <c:pt idx="3">
                  <c:v>33329</c:v>
                </c:pt>
                <c:pt idx="4">
                  <c:v>33359</c:v>
                </c:pt>
                <c:pt idx="5">
                  <c:v>33390</c:v>
                </c:pt>
                <c:pt idx="6">
                  <c:v>33420</c:v>
                </c:pt>
                <c:pt idx="7">
                  <c:v>33451</c:v>
                </c:pt>
                <c:pt idx="8">
                  <c:v>33482</c:v>
                </c:pt>
                <c:pt idx="9">
                  <c:v>33512</c:v>
                </c:pt>
                <c:pt idx="10">
                  <c:v>33543</c:v>
                </c:pt>
                <c:pt idx="11">
                  <c:v>33573</c:v>
                </c:pt>
                <c:pt idx="12">
                  <c:v>33604</c:v>
                </c:pt>
                <c:pt idx="13">
                  <c:v>33635</c:v>
                </c:pt>
                <c:pt idx="14">
                  <c:v>33664</c:v>
                </c:pt>
                <c:pt idx="15">
                  <c:v>33695</c:v>
                </c:pt>
                <c:pt idx="16">
                  <c:v>33725</c:v>
                </c:pt>
                <c:pt idx="17">
                  <c:v>33756</c:v>
                </c:pt>
                <c:pt idx="18">
                  <c:v>33786</c:v>
                </c:pt>
                <c:pt idx="19">
                  <c:v>33817</c:v>
                </c:pt>
                <c:pt idx="20">
                  <c:v>33848</c:v>
                </c:pt>
                <c:pt idx="21">
                  <c:v>33878</c:v>
                </c:pt>
                <c:pt idx="22">
                  <c:v>33909</c:v>
                </c:pt>
                <c:pt idx="23">
                  <c:v>33939</c:v>
                </c:pt>
                <c:pt idx="24">
                  <c:v>33970</c:v>
                </c:pt>
                <c:pt idx="25">
                  <c:v>34001</c:v>
                </c:pt>
                <c:pt idx="26">
                  <c:v>34029</c:v>
                </c:pt>
                <c:pt idx="27">
                  <c:v>34060</c:v>
                </c:pt>
                <c:pt idx="28">
                  <c:v>34090</c:v>
                </c:pt>
                <c:pt idx="29">
                  <c:v>34121</c:v>
                </c:pt>
                <c:pt idx="30">
                  <c:v>34151</c:v>
                </c:pt>
                <c:pt idx="31">
                  <c:v>34182</c:v>
                </c:pt>
                <c:pt idx="32">
                  <c:v>34213</c:v>
                </c:pt>
                <c:pt idx="33">
                  <c:v>34243</c:v>
                </c:pt>
                <c:pt idx="34">
                  <c:v>34274</c:v>
                </c:pt>
                <c:pt idx="35">
                  <c:v>34304</c:v>
                </c:pt>
                <c:pt idx="36">
                  <c:v>34335</c:v>
                </c:pt>
                <c:pt idx="37">
                  <c:v>34366</c:v>
                </c:pt>
                <c:pt idx="38">
                  <c:v>34394</c:v>
                </c:pt>
                <c:pt idx="39">
                  <c:v>34425</c:v>
                </c:pt>
                <c:pt idx="40">
                  <c:v>34455</c:v>
                </c:pt>
                <c:pt idx="41">
                  <c:v>34486</c:v>
                </c:pt>
                <c:pt idx="42">
                  <c:v>34516</c:v>
                </c:pt>
                <c:pt idx="43">
                  <c:v>34547</c:v>
                </c:pt>
                <c:pt idx="44">
                  <c:v>34578</c:v>
                </c:pt>
                <c:pt idx="45">
                  <c:v>34608</c:v>
                </c:pt>
                <c:pt idx="46">
                  <c:v>34639</c:v>
                </c:pt>
                <c:pt idx="47">
                  <c:v>34669</c:v>
                </c:pt>
                <c:pt idx="48">
                  <c:v>34700</c:v>
                </c:pt>
                <c:pt idx="49">
                  <c:v>34731</c:v>
                </c:pt>
                <c:pt idx="50">
                  <c:v>34759</c:v>
                </c:pt>
                <c:pt idx="51">
                  <c:v>34790</c:v>
                </c:pt>
                <c:pt idx="52">
                  <c:v>34820</c:v>
                </c:pt>
                <c:pt idx="53">
                  <c:v>34851</c:v>
                </c:pt>
                <c:pt idx="54">
                  <c:v>34881</c:v>
                </c:pt>
                <c:pt idx="55">
                  <c:v>34912</c:v>
                </c:pt>
                <c:pt idx="56">
                  <c:v>34943</c:v>
                </c:pt>
                <c:pt idx="57">
                  <c:v>34973</c:v>
                </c:pt>
                <c:pt idx="58">
                  <c:v>35004</c:v>
                </c:pt>
                <c:pt idx="59">
                  <c:v>35034</c:v>
                </c:pt>
                <c:pt idx="60">
                  <c:v>35065</c:v>
                </c:pt>
                <c:pt idx="61">
                  <c:v>35096</c:v>
                </c:pt>
                <c:pt idx="62">
                  <c:v>35125</c:v>
                </c:pt>
                <c:pt idx="63">
                  <c:v>35156</c:v>
                </c:pt>
                <c:pt idx="64">
                  <c:v>35186</c:v>
                </c:pt>
                <c:pt idx="65">
                  <c:v>35217</c:v>
                </c:pt>
                <c:pt idx="66">
                  <c:v>35247</c:v>
                </c:pt>
                <c:pt idx="67">
                  <c:v>35278</c:v>
                </c:pt>
                <c:pt idx="68">
                  <c:v>35309</c:v>
                </c:pt>
                <c:pt idx="69">
                  <c:v>35339</c:v>
                </c:pt>
                <c:pt idx="70">
                  <c:v>35370</c:v>
                </c:pt>
                <c:pt idx="71">
                  <c:v>35400</c:v>
                </c:pt>
                <c:pt idx="72">
                  <c:v>35431</c:v>
                </c:pt>
                <c:pt idx="73">
                  <c:v>35462</c:v>
                </c:pt>
                <c:pt idx="74">
                  <c:v>35490</c:v>
                </c:pt>
                <c:pt idx="75">
                  <c:v>35521</c:v>
                </c:pt>
                <c:pt idx="76">
                  <c:v>35551</c:v>
                </c:pt>
                <c:pt idx="77">
                  <c:v>35582</c:v>
                </c:pt>
                <c:pt idx="78">
                  <c:v>35612</c:v>
                </c:pt>
                <c:pt idx="79">
                  <c:v>35643</c:v>
                </c:pt>
                <c:pt idx="80">
                  <c:v>35674</c:v>
                </c:pt>
                <c:pt idx="81">
                  <c:v>35704</c:v>
                </c:pt>
                <c:pt idx="82">
                  <c:v>35735</c:v>
                </c:pt>
                <c:pt idx="83">
                  <c:v>35765</c:v>
                </c:pt>
                <c:pt idx="84">
                  <c:v>35796</c:v>
                </c:pt>
                <c:pt idx="85">
                  <c:v>35827</c:v>
                </c:pt>
                <c:pt idx="86">
                  <c:v>35855</c:v>
                </c:pt>
                <c:pt idx="87">
                  <c:v>35886</c:v>
                </c:pt>
                <c:pt idx="88">
                  <c:v>35916</c:v>
                </c:pt>
                <c:pt idx="89">
                  <c:v>35947</c:v>
                </c:pt>
                <c:pt idx="90">
                  <c:v>35977</c:v>
                </c:pt>
                <c:pt idx="91">
                  <c:v>36008</c:v>
                </c:pt>
                <c:pt idx="92">
                  <c:v>36039</c:v>
                </c:pt>
                <c:pt idx="93">
                  <c:v>36069</c:v>
                </c:pt>
                <c:pt idx="94">
                  <c:v>36100</c:v>
                </c:pt>
                <c:pt idx="95">
                  <c:v>36130</c:v>
                </c:pt>
                <c:pt idx="96">
                  <c:v>36161</c:v>
                </c:pt>
                <c:pt idx="97">
                  <c:v>36192</c:v>
                </c:pt>
                <c:pt idx="98">
                  <c:v>36220</c:v>
                </c:pt>
                <c:pt idx="99">
                  <c:v>36251</c:v>
                </c:pt>
                <c:pt idx="100">
                  <c:v>36281</c:v>
                </c:pt>
                <c:pt idx="101">
                  <c:v>36312</c:v>
                </c:pt>
                <c:pt idx="102">
                  <c:v>36342</c:v>
                </c:pt>
                <c:pt idx="103">
                  <c:v>36373</c:v>
                </c:pt>
                <c:pt idx="104">
                  <c:v>36404</c:v>
                </c:pt>
                <c:pt idx="105">
                  <c:v>36434</c:v>
                </c:pt>
                <c:pt idx="106">
                  <c:v>36465</c:v>
                </c:pt>
                <c:pt idx="107">
                  <c:v>36495</c:v>
                </c:pt>
                <c:pt idx="108">
                  <c:v>36526</c:v>
                </c:pt>
                <c:pt idx="109">
                  <c:v>36557</c:v>
                </c:pt>
                <c:pt idx="110">
                  <c:v>36586</c:v>
                </c:pt>
                <c:pt idx="111">
                  <c:v>36617</c:v>
                </c:pt>
                <c:pt idx="112">
                  <c:v>36647</c:v>
                </c:pt>
                <c:pt idx="113">
                  <c:v>36678</c:v>
                </c:pt>
                <c:pt idx="114">
                  <c:v>36708</c:v>
                </c:pt>
                <c:pt idx="115">
                  <c:v>36739</c:v>
                </c:pt>
                <c:pt idx="116">
                  <c:v>36770</c:v>
                </c:pt>
                <c:pt idx="117">
                  <c:v>36800</c:v>
                </c:pt>
                <c:pt idx="118">
                  <c:v>36831</c:v>
                </c:pt>
                <c:pt idx="119">
                  <c:v>36861</c:v>
                </c:pt>
                <c:pt idx="120">
                  <c:v>36892</c:v>
                </c:pt>
                <c:pt idx="121">
                  <c:v>36923</c:v>
                </c:pt>
                <c:pt idx="122">
                  <c:v>36951</c:v>
                </c:pt>
                <c:pt idx="123">
                  <c:v>36982</c:v>
                </c:pt>
                <c:pt idx="124">
                  <c:v>37012</c:v>
                </c:pt>
                <c:pt idx="125">
                  <c:v>37043</c:v>
                </c:pt>
                <c:pt idx="126">
                  <c:v>37073</c:v>
                </c:pt>
                <c:pt idx="127">
                  <c:v>37104</c:v>
                </c:pt>
                <c:pt idx="128">
                  <c:v>37135</c:v>
                </c:pt>
                <c:pt idx="129">
                  <c:v>37165</c:v>
                </c:pt>
                <c:pt idx="130">
                  <c:v>37196</c:v>
                </c:pt>
                <c:pt idx="131">
                  <c:v>37226</c:v>
                </c:pt>
                <c:pt idx="132">
                  <c:v>37257</c:v>
                </c:pt>
                <c:pt idx="133">
                  <c:v>37288</c:v>
                </c:pt>
                <c:pt idx="134">
                  <c:v>37316</c:v>
                </c:pt>
                <c:pt idx="135">
                  <c:v>37347</c:v>
                </c:pt>
                <c:pt idx="136">
                  <c:v>37377</c:v>
                </c:pt>
                <c:pt idx="137">
                  <c:v>37408</c:v>
                </c:pt>
                <c:pt idx="138">
                  <c:v>37438</c:v>
                </c:pt>
                <c:pt idx="139">
                  <c:v>37469</c:v>
                </c:pt>
                <c:pt idx="140">
                  <c:v>37500</c:v>
                </c:pt>
                <c:pt idx="141">
                  <c:v>37530</c:v>
                </c:pt>
                <c:pt idx="142">
                  <c:v>37561</c:v>
                </c:pt>
                <c:pt idx="143">
                  <c:v>37591</c:v>
                </c:pt>
                <c:pt idx="144">
                  <c:v>37622</c:v>
                </c:pt>
                <c:pt idx="145">
                  <c:v>37653</c:v>
                </c:pt>
                <c:pt idx="146">
                  <c:v>37681</c:v>
                </c:pt>
                <c:pt idx="147">
                  <c:v>37712</c:v>
                </c:pt>
                <c:pt idx="148">
                  <c:v>37742</c:v>
                </c:pt>
                <c:pt idx="149">
                  <c:v>37773</c:v>
                </c:pt>
                <c:pt idx="150">
                  <c:v>37803</c:v>
                </c:pt>
                <c:pt idx="151">
                  <c:v>37834</c:v>
                </c:pt>
                <c:pt idx="152">
                  <c:v>37865</c:v>
                </c:pt>
                <c:pt idx="153">
                  <c:v>37895</c:v>
                </c:pt>
                <c:pt idx="154">
                  <c:v>37926</c:v>
                </c:pt>
                <c:pt idx="155">
                  <c:v>37956</c:v>
                </c:pt>
                <c:pt idx="156">
                  <c:v>37987</c:v>
                </c:pt>
                <c:pt idx="157">
                  <c:v>38018</c:v>
                </c:pt>
                <c:pt idx="158">
                  <c:v>38047</c:v>
                </c:pt>
                <c:pt idx="159">
                  <c:v>38078</c:v>
                </c:pt>
                <c:pt idx="160">
                  <c:v>38108</c:v>
                </c:pt>
                <c:pt idx="161">
                  <c:v>38139</c:v>
                </c:pt>
                <c:pt idx="162">
                  <c:v>38169</c:v>
                </c:pt>
                <c:pt idx="163">
                  <c:v>38200</c:v>
                </c:pt>
                <c:pt idx="164">
                  <c:v>38231</c:v>
                </c:pt>
                <c:pt idx="165">
                  <c:v>38261</c:v>
                </c:pt>
                <c:pt idx="166">
                  <c:v>38292</c:v>
                </c:pt>
                <c:pt idx="167">
                  <c:v>38322</c:v>
                </c:pt>
                <c:pt idx="168">
                  <c:v>38353</c:v>
                </c:pt>
                <c:pt idx="169">
                  <c:v>38384</c:v>
                </c:pt>
                <c:pt idx="170">
                  <c:v>38412</c:v>
                </c:pt>
                <c:pt idx="171">
                  <c:v>38443</c:v>
                </c:pt>
                <c:pt idx="172">
                  <c:v>38473</c:v>
                </c:pt>
                <c:pt idx="173">
                  <c:v>38504</c:v>
                </c:pt>
                <c:pt idx="174">
                  <c:v>38534</c:v>
                </c:pt>
                <c:pt idx="175">
                  <c:v>38565</c:v>
                </c:pt>
                <c:pt idx="176">
                  <c:v>38596</c:v>
                </c:pt>
                <c:pt idx="177">
                  <c:v>38626</c:v>
                </c:pt>
                <c:pt idx="178">
                  <c:v>38657</c:v>
                </c:pt>
                <c:pt idx="179">
                  <c:v>38687</c:v>
                </c:pt>
                <c:pt idx="180">
                  <c:v>38718</c:v>
                </c:pt>
                <c:pt idx="181">
                  <c:v>38749</c:v>
                </c:pt>
                <c:pt idx="182">
                  <c:v>38777</c:v>
                </c:pt>
                <c:pt idx="183">
                  <c:v>38808</c:v>
                </c:pt>
                <c:pt idx="184">
                  <c:v>38838</c:v>
                </c:pt>
                <c:pt idx="185">
                  <c:v>38869</c:v>
                </c:pt>
                <c:pt idx="186">
                  <c:v>38899</c:v>
                </c:pt>
                <c:pt idx="187">
                  <c:v>38930</c:v>
                </c:pt>
                <c:pt idx="188">
                  <c:v>38961</c:v>
                </c:pt>
                <c:pt idx="189">
                  <c:v>38991</c:v>
                </c:pt>
                <c:pt idx="190">
                  <c:v>39022</c:v>
                </c:pt>
                <c:pt idx="191">
                  <c:v>39052</c:v>
                </c:pt>
                <c:pt idx="192">
                  <c:v>39083</c:v>
                </c:pt>
                <c:pt idx="193">
                  <c:v>39114</c:v>
                </c:pt>
                <c:pt idx="194">
                  <c:v>39142</c:v>
                </c:pt>
                <c:pt idx="195">
                  <c:v>39173</c:v>
                </c:pt>
                <c:pt idx="196">
                  <c:v>39203</c:v>
                </c:pt>
                <c:pt idx="197">
                  <c:v>39234</c:v>
                </c:pt>
                <c:pt idx="198">
                  <c:v>39264</c:v>
                </c:pt>
                <c:pt idx="199">
                  <c:v>39295</c:v>
                </c:pt>
                <c:pt idx="200">
                  <c:v>39326</c:v>
                </c:pt>
                <c:pt idx="201">
                  <c:v>39356</c:v>
                </c:pt>
                <c:pt idx="202">
                  <c:v>39387</c:v>
                </c:pt>
                <c:pt idx="203">
                  <c:v>39417</c:v>
                </c:pt>
                <c:pt idx="204">
                  <c:v>39448</c:v>
                </c:pt>
                <c:pt idx="205">
                  <c:v>39479</c:v>
                </c:pt>
                <c:pt idx="206">
                  <c:v>39508</c:v>
                </c:pt>
                <c:pt idx="207">
                  <c:v>39539</c:v>
                </c:pt>
                <c:pt idx="208">
                  <c:v>39569</c:v>
                </c:pt>
                <c:pt idx="209">
                  <c:v>39600</c:v>
                </c:pt>
                <c:pt idx="210">
                  <c:v>39630</c:v>
                </c:pt>
                <c:pt idx="211">
                  <c:v>39661</c:v>
                </c:pt>
                <c:pt idx="212">
                  <c:v>39692</c:v>
                </c:pt>
                <c:pt idx="213">
                  <c:v>39722</c:v>
                </c:pt>
                <c:pt idx="214">
                  <c:v>39753</c:v>
                </c:pt>
                <c:pt idx="215">
                  <c:v>39783</c:v>
                </c:pt>
                <c:pt idx="216">
                  <c:v>39814</c:v>
                </c:pt>
                <c:pt idx="217">
                  <c:v>39845</c:v>
                </c:pt>
                <c:pt idx="218">
                  <c:v>39873</c:v>
                </c:pt>
                <c:pt idx="219">
                  <c:v>39904</c:v>
                </c:pt>
                <c:pt idx="220">
                  <c:v>39934</c:v>
                </c:pt>
                <c:pt idx="221">
                  <c:v>39965</c:v>
                </c:pt>
                <c:pt idx="222">
                  <c:v>39995</c:v>
                </c:pt>
                <c:pt idx="223">
                  <c:v>40026</c:v>
                </c:pt>
                <c:pt idx="224">
                  <c:v>40057</c:v>
                </c:pt>
                <c:pt idx="225">
                  <c:v>40087</c:v>
                </c:pt>
                <c:pt idx="226">
                  <c:v>40118</c:v>
                </c:pt>
                <c:pt idx="227">
                  <c:v>40148</c:v>
                </c:pt>
                <c:pt idx="228">
                  <c:v>40179</c:v>
                </c:pt>
                <c:pt idx="229">
                  <c:v>40210</c:v>
                </c:pt>
                <c:pt idx="230">
                  <c:v>40238</c:v>
                </c:pt>
                <c:pt idx="231">
                  <c:v>40269</c:v>
                </c:pt>
                <c:pt idx="232">
                  <c:v>40299</c:v>
                </c:pt>
                <c:pt idx="233">
                  <c:v>40330</c:v>
                </c:pt>
                <c:pt idx="234">
                  <c:v>40360</c:v>
                </c:pt>
                <c:pt idx="235">
                  <c:v>40391</c:v>
                </c:pt>
                <c:pt idx="236">
                  <c:v>40422</c:v>
                </c:pt>
                <c:pt idx="237">
                  <c:v>40452</c:v>
                </c:pt>
                <c:pt idx="238">
                  <c:v>40483</c:v>
                </c:pt>
                <c:pt idx="239">
                  <c:v>40513</c:v>
                </c:pt>
                <c:pt idx="240">
                  <c:v>40544</c:v>
                </c:pt>
                <c:pt idx="241">
                  <c:v>40575</c:v>
                </c:pt>
                <c:pt idx="242">
                  <c:v>40603</c:v>
                </c:pt>
                <c:pt idx="243">
                  <c:v>40634</c:v>
                </c:pt>
                <c:pt idx="244">
                  <c:v>40664</c:v>
                </c:pt>
                <c:pt idx="245">
                  <c:v>40695</c:v>
                </c:pt>
                <c:pt idx="246">
                  <c:v>40725</c:v>
                </c:pt>
                <c:pt idx="247">
                  <c:v>40756</c:v>
                </c:pt>
                <c:pt idx="248">
                  <c:v>40787</c:v>
                </c:pt>
                <c:pt idx="249">
                  <c:v>40817</c:v>
                </c:pt>
                <c:pt idx="250">
                  <c:v>40848</c:v>
                </c:pt>
                <c:pt idx="251">
                  <c:v>40878</c:v>
                </c:pt>
                <c:pt idx="252">
                  <c:v>40909</c:v>
                </c:pt>
                <c:pt idx="253">
                  <c:v>40940</c:v>
                </c:pt>
                <c:pt idx="254">
                  <c:v>40969</c:v>
                </c:pt>
                <c:pt idx="255">
                  <c:v>41000</c:v>
                </c:pt>
                <c:pt idx="256">
                  <c:v>41030</c:v>
                </c:pt>
                <c:pt idx="257">
                  <c:v>41061</c:v>
                </c:pt>
                <c:pt idx="258">
                  <c:v>41091</c:v>
                </c:pt>
                <c:pt idx="259">
                  <c:v>41122</c:v>
                </c:pt>
                <c:pt idx="260">
                  <c:v>41153</c:v>
                </c:pt>
                <c:pt idx="261">
                  <c:v>41183</c:v>
                </c:pt>
                <c:pt idx="262">
                  <c:v>41214</c:v>
                </c:pt>
                <c:pt idx="263">
                  <c:v>41244</c:v>
                </c:pt>
                <c:pt idx="264">
                  <c:v>41275</c:v>
                </c:pt>
                <c:pt idx="265">
                  <c:v>41306</c:v>
                </c:pt>
                <c:pt idx="266">
                  <c:v>41334</c:v>
                </c:pt>
                <c:pt idx="267">
                  <c:v>41365</c:v>
                </c:pt>
                <c:pt idx="268">
                  <c:v>41395</c:v>
                </c:pt>
                <c:pt idx="269">
                  <c:v>41426</c:v>
                </c:pt>
                <c:pt idx="270">
                  <c:v>41456</c:v>
                </c:pt>
                <c:pt idx="271">
                  <c:v>41487</c:v>
                </c:pt>
                <c:pt idx="272">
                  <c:v>41518</c:v>
                </c:pt>
                <c:pt idx="273">
                  <c:v>41548</c:v>
                </c:pt>
                <c:pt idx="274">
                  <c:v>41579</c:v>
                </c:pt>
                <c:pt idx="275">
                  <c:v>41609</c:v>
                </c:pt>
                <c:pt idx="276">
                  <c:v>41640</c:v>
                </c:pt>
                <c:pt idx="277">
                  <c:v>41671</c:v>
                </c:pt>
                <c:pt idx="278">
                  <c:v>41699</c:v>
                </c:pt>
                <c:pt idx="279">
                  <c:v>41730</c:v>
                </c:pt>
                <c:pt idx="280">
                  <c:v>41760</c:v>
                </c:pt>
                <c:pt idx="281">
                  <c:v>41791</c:v>
                </c:pt>
                <c:pt idx="282">
                  <c:v>41821</c:v>
                </c:pt>
                <c:pt idx="283">
                  <c:v>41852</c:v>
                </c:pt>
                <c:pt idx="284">
                  <c:v>41883</c:v>
                </c:pt>
                <c:pt idx="285">
                  <c:v>41913</c:v>
                </c:pt>
                <c:pt idx="286">
                  <c:v>41944</c:v>
                </c:pt>
                <c:pt idx="287">
                  <c:v>41974</c:v>
                </c:pt>
                <c:pt idx="288">
                  <c:v>42005</c:v>
                </c:pt>
                <c:pt idx="289">
                  <c:v>42036</c:v>
                </c:pt>
                <c:pt idx="290">
                  <c:v>42064</c:v>
                </c:pt>
                <c:pt idx="291">
                  <c:v>42095</c:v>
                </c:pt>
                <c:pt idx="292">
                  <c:v>42125</c:v>
                </c:pt>
                <c:pt idx="293">
                  <c:v>42156</c:v>
                </c:pt>
                <c:pt idx="294">
                  <c:v>42186</c:v>
                </c:pt>
                <c:pt idx="295">
                  <c:v>42217</c:v>
                </c:pt>
                <c:pt idx="296">
                  <c:v>42248</c:v>
                </c:pt>
                <c:pt idx="297">
                  <c:v>42278</c:v>
                </c:pt>
                <c:pt idx="298">
                  <c:v>42309</c:v>
                </c:pt>
                <c:pt idx="299">
                  <c:v>42339</c:v>
                </c:pt>
                <c:pt idx="300">
                  <c:v>42370</c:v>
                </c:pt>
                <c:pt idx="301">
                  <c:v>42401</c:v>
                </c:pt>
                <c:pt idx="302">
                  <c:v>42430</c:v>
                </c:pt>
                <c:pt idx="303">
                  <c:v>42461</c:v>
                </c:pt>
                <c:pt idx="304">
                  <c:v>42491</c:v>
                </c:pt>
                <c:pt idx="305">
                  <c:v>42522</c:v>
                </c:pt>
                <c:pt idx="306">
                  <c:v>42552</c:v>
                </c:pt>
                <c:pt idx="307">
                  <c:v>42583</c:v>
                </c:pt>
                <c:pt idx="308">
                  <c:v>42614</c:v>
                </c:pt>
                <c:pt idx="309">
                  <c:v>42644</c:v>
                </c:pt>
                <c:pt idx="310">
                  <c:v>42675</c:v>
                </c:pt>
                <c:pt idx="311">
                  <c:v>42705</c:v>
                </c:pt>
                <c:pt idx="312">
                  <c:v>42736</c:v>
                </c:pt>
                <c:pt idx="313">
                  <c:v>42767</c:v>
                </c:pt>
                <c:pt idx="314">
                  <c:v>42795</c:v>
                </c:pt>
                <c:pt idx="315">
                  <c:v>42826</c:v>
                </c:pt>
                <c:pt idx="316">
                  <c:v>42856</c:v>
                </c:pt>
                <c:pt idx="317">
                  <c:v>42887</c:v>
                </c:pt>
                <c:pt idx="318">
                  <c:v>42917</c:v>
                </c:pt>
                <c:pt idx="319">
                  <c:v>42948</c:v>
                </c:pt>
                <c:pt idx="320">
                  <c:v>42979</c:v>
                </c:pt>
                <c:pt idx="321">
                  <c:v>43009</c:v>
                </c:pt>
                <c:pt idx="322">
                  <c:v>43040</c:v>
                </c:pt>
                <c:pt idx="323">
                  <c:v>43070</c:v>
                </c:pt>
                <c:pt idx="324">
                  <c:v>43101</c:v>
                </c:pt>
                <c:pt idx="325">
                  <c:v>43132</c:v>
                </c:pt>
                <c:pt idx="326">
                  <c:v>43160</c:v>
                </c:pt>
                <c:pt idx="327">
                  <c:v>43191</c:v>
                </c:pt>
                <c:pt idx="328">
                  <c:v>43221</c:v>
                </c:pt>
                <c:pt idx="329">
                  <c:v>43252</c:v>
                </c:pt>
                <c:pt idx="330">
                  <c:v>43282</c:v>
                </c:pt>
                <c:pt idx="331">
                  <c:v>43313</c:v>
                </c:pt>
                <c:pt idx="332">
                  <c:v>43344</c:v>
                </c:pt>
                <c:pt idx="333">
                  <c:v>43374</c:v>
                </c:pt>
                <c:pt idx="334">
                  <c:v>43405</c:v>
                </c:pt>
                <c:pt idx="335">
                  <c:v>43435</c:v>
                </c:pt>
                <c:pt idx="336">
                  <c:v>43466</c:v>
                </c:pt>
                <c:pt idx="337">
                  <c:v>43497</c:v>
                </c:pt>
                <c:pt idx="338">
                  <c:v>43525</c:v>
                </c:pt>
                <c:pt idx="339">
                  <c:v>43556</c:v>
                </c:pt>
                <c:pt idx="340">
                  <c:v>43586</c:v>
                </c:pt>
                <c:pt idx="341">
                  <c:v>43617</c:v>
                </c:pt>
                <c:pt idx="342">
                  <c:v>43647</c:v>
                </c:pt>
                <c:pt idx="343">
                  <c:v>43678</c:v>
                </c:pt>
                <c:pt idx="344">
                  <c:v>43709</c:v>
                </c:pt>
                <c:pt idx="345">
                  <c:v>43739</c:v>
                </c:pt>
                <c:pt idx="346">
                  <c:v>43770</c:v>
                </c:pt>
                <c:pt idx="347">
                  <c:v>43800</c:v>
                </c:pt>
                <c:pt idx="348">
                  <c:v>43831</c:v>
                </c:pt>
                <c:pt idx="349">
                  <c:v>43862</c:v>
                </c:pt>
                <c:pt idx="350">
                  <c:v>43891</c:v>
                </c:pt>
                <c:pt idx="351">
                  <c:v>43922</c:v>
                </c:pt>
                <c:pt idx="352">
                  <c:v>43952</c:v>
                </c:pt>
                <c:pt idx="353">
                  <c:v>43983</c:v>
                </c:pt>
                <c:pt idx="354">
                  <c:v>44013</c:v>
                </c:pt>
                <c:pt idx="355">
                  <c:v>44044</c:v>
                </c:pt>
                <c:pt idx="356">
                  <c:v>44075</c:v>
                </c:pt>
                <c:pt idx="357">
                  <c:v>44105</c:v>
                </c:pt>
                <c:pt idx="358">
                  <c:v>44136</c:v>
                </c:pt>
                <c:pt idx="359">
                  <c:v>44166</c:v>
                </c:pt>
                <c:pt idx="360">
                  <c:v>44197</c:v>
                </c:pt>
                <c:pt idx="361">
                  <c:v>44228</c:v>
                </c:pt>
                <c:pt idx="362">
                  <c:v>44256</c:v>
                </c:pt>
                <c:pt idx="363">
                  <c:v>44287</c:v>
                </c:pt>
                <c:pt idx="364">
                  <c:v>44317</c:v>
                </c:pt>
                <c:pt idx="365">
                  <c:v>44348</c:v>
                </c:pt>
                <c:pt idx="366">
                  <c:v>44378</c:v>
                </c:pt>
                <c:pt idx="367">
                  <c:v>44409</c:v>
                </c:pt>
                <c:pt idx="368">
                  <c:v>44440</c:v>
                </c:pt>
                <c:pt idx="369">
                  <c:v>44470</c:v>
                </c:pt>
                <c:pt idx="370">
                  <c:v>44501</c:v>
                </c:pt>
                <c:pt idx="371">
                  <c:v>44531</c:v>
                </c:pt>
                <c:pt idx="372">
                  <c:v>44562</c:v>
                </c:pt>
                <c:pt idx="373">
                  <c:v>44593</c:v>
                </c:pt>
                <c:pt idx="374">
                  <c:v>44621</c:v>
                </c:pt>
                <c:pt idx="375">
                  <c:v>44652</c:v>
                </c:pt>
                <c:pt idx="376">
                  <c:v>44682</c:v>
                </c:pt>
                <c:pt idx="377">
                  <c:v>44713</c:v>
                </c:pt>
                <c:pt idx="378">
                  <c:v>44743</c:v>
                </c:pt>
                <c:pt idx="379">
                  <c:v>44774</c:v>
                </c:pt>
                <c:pt idx="380">
                  <c:v>44805</c:v>
                </c:pt>
                <c:pt idx="381">
                  <c:v>44835</c:v>
                </c:pt>
                <c:pt idx="382">
                  <c:v>44866</c:v>
                </c:pt>
                <c:pt idx="383">
                  <c:v>44896</c:v>
                </c:pt>
                <c:pt idx="384">
                  <c:v>44927</c:v>
                </c:pt>
                <c:pt idx="385">
                  <c:v>44958</c:v>
                </c:pt>
                <c:pt idx="386">
                  <c:v>44986</c:v>
                </c:pt>
                <c:pt idx="387">
                  <c:v>45017</c:v>
                </c:pt>
                <c:pt idx="388">
                  <c:v>45047</c:v>
                </c:pt>
                <c:pt idx="389">
                  <c:v>45078</c:v>
                </c:pt>
                <c:pt idx="390">
                  <c:v>45108</c:v>
                </c:pt>
                <c:pt idx="391">
                  <c:v>45139</c:v>
                </c:pt>
                <c:pt idx="392">
                  <c:v>45170</c:v>
                </c:pt>
                <c:pt idx="393">
                  <c:v>45200</c:v>
                </c:pt>
                <c:pt idx="394">
                  <c:v>45231</c:v>
                </c:pt>
                <c:pt idx="395">
                  <c:v>45261</c:v>
                </c:pt>
                <c:pt idx="396">
                  <c:v>45292</c:v>
                </c:pt>
                <c:pt idx="397">
                  <c:v>45323</c:v>
                </c:pt>
                <c:pt idx="398">
                  <c:v>45352</c:v>
                </c:pt>
                <c:pt idx="399">
                  <c:v>45383</c:v>
                </c:pt>
                <c:pt idx="400">
                  <c:v>45413</c:v>
                </c:pt>
                <c:pt idx="401">
                  <c:v>45444</c:v>
                </c:pt>
                <c:pt idx="402">
                  <c:v>45474</c:v>
                </c:pt>
                <c:pt idx="403">
                  <c:v>45505</c:v>
                </c:pt>
                <c:pt idx="404">
                  <c:v>45536</c:v>
                </c:pt>
                <c:pt idx="405">
                  <c:v>45566</c:v>
                </c:pt>
                <c:pt idx="406">
                  <c:v>45597</c:v>
                </c:pt>
                <c:pt idx="407">
                  <c:v>45627</c:v>
                </c:pt>
                <c:pt idx="408">
                  <c:v>45658</c:v>
                </c:pt>
                <c:pt idx="409">
                  <c:v>45689</c:v>
                </c:pt>
                <c:pt idx="410">
                  <c:v>45717</c:v>
                </c:pt>
                <c:pt idx="411">
                  <c:v>45748</c:v>
                </c:pt>
                <c:pt idx="412">
                  <c:v>45778</c:v>
                </c:pt>
                <c:pt idx="413">
                  <c:v>45809</c:v>
                </c:pt>
                <c:pt idx="414">
                  <c:v>45839</c:v>
                </c:pt>
                <c:pt idx="415">
                  <c:v>45870</c:v>
                </c:pt>
                <c:pt idx="416">
                  <c:v>45901</c:v>
                </c:pt>
                <c:pt idx="417">
                  <c:v>45931</c:v>
                </c:pt>
                <c:pt idx="418">
                  <c:v>45962</c:v>
                </c:pt>
                <c:pt idx="419">
                  <c:v>45992</c:v>
                </c:pt>
                <c:pt idx="420">
                  <c:v>46023</c:v>
                </c:pt>
                <c:pt idx="421">
                  <c:v>46054</c:v>
                </c:pt>
                <c:pt idx="422">
                  <c:v>46082</c:v>
                </c:pt>
                <c:pt idx="423">
                  <c:v>46113</c:v>
                </c:pt>
                <c:pt idx="424">
                  <c:v>46143</c:v>
                </c:pt>
                <c:pt idx="425">
                  <c:v>46174</c:v>
                </c:pt>
                <c:pt idx="426">
                  <c:v>46204</c:v>
                </c:pt>
                <c:pt idx="427">
                  <c:v>46235</c:v>
                </c:pt>
                <c:pt idx="428">
                  <c:v>46266</c:v>
                </c:pt>
                <c:pt idx="429">
                  <c:v>46296</c:v>
                </c:pt>
                <c:pt idx="430">
                  <c:v>46327</c:v>
                </c:pt>
                <c:pt idx="431">
                  <c:v>46357</c:v>
                </c:pt>
                <c:pt idx="432">
                  <c:v>46388</c:v>
                </c:pt>
              </c:numCache>
            </c:numRef>
          </c:cat>
          <c:val>
            <c:numRef>
              <c:f>'Input Data'!$Q$2:$Q$434</c:f>
              <c:numCache>
                <c:formatCode>General</c:formatCode>
                <c:ptCount val="433"/>
                <c:pt idx="24" formatCode="0.00">
                  <c:v>11.594223725142134</c:v>
                </c:pt>
                <c:pt idx="25" formatCode="0.00">
                  <c:v>11.81370312545781</c:v>
                </c:pt>
                <c:pt idx="26" formatCode="0.00">
                  <c:v>12.060846639170594</c:v>
                </c:pt>
                <c:pt idx="27" formatCode="0.00">
                  <c:v>12.499395446303343</c:v>
                </c:pt>
                <c:pt idx="28" formatCode="0.00">
                  <c:v>12.640859754212784</c:v>
                </c:pt>
                <c:pt idx="29" formatCode="0.00">
                  <c:v>12.701944806229683</c:v>
                </c:pt>
                <c:pt idx="30" formatCode="0.00">
                  <c:v>12.810204989279198</c:v>
                </c:pt>
                <c:pt idx="31" formatCode="0.00">
                  <c:v>12.857294361943165</c:v>
                </c:pt>
                <c:pt idx="32" formatCode="0.00">
                  <c:v>12.943900305232551</c:v>
                </c:pt>
                <c:pt idx="33" formatCode="0.00">
                  <c:v>12.759698902619268</c:v>
                </c:pt>
                <c:pt idx="34" formatCode="0.00">
                  <c:v>12.654497112291416</c:v>
                </c:pt>
                <c:pt idx="35" formatCode="0.00">
                  <c:v>12.776605290095919</c:v>
                </c:pt>
                <c:pt idx="36" formatCode="0.00">
                  <c:v>12.784279345011159</c:v>
                </c:pt>
                <c:pt idx="37" formatCode="0.00">
                  <c:v>12.430899664881276</c:v>
                </c:pt>
                <c:pt idx="38" formatCode="0.00">
                  <c:v>13.205762067941071</c:v>
                </c:pt>
                <c:pt idx="39" formatCode="0.00">
                  <c:v>13.36276719146827</c:v>
                </c:pt>
                <c:pt idx="40" formatCode="0.00">
                  <c:v>13.130331426770248</c:v>
                </c:pt>
                <c:pt idx="41" formatCode="0.00">
                  <c:v>13.476910542095489</c:v>
                </c:pt>
                <c:pt idx="42" formatCode="0.00">
                  <c:v>13.491021955149243</c:v>
                </c:pt>
                <c:pt idx="43" formatCode="0.00">
                  <c:v>13.489741500629583</c:v>
                </c:pt>
                <c:pt idx="44" formatCode="0.00">
                  <c:v>13.485694638263237</c:v>
                </c:pt>
                <c:pt idx="45" formatCode="0.00">
                  <c:v>13.635125609855585</c:v>
                </c:pt>
                <c:pt idx="46" formatCode="0.00">
                  <c:v>13.766559383890341</c:v>
                </c:pt>
                <c:pt idx="47" formatCode="0.00">
                  <c:v>13.811082390098015</c:v>
                </c:pt>
                <c:pt idx="48" formatCode="0.00">
                  <c:v>13.973608335112852</c:v>
                </c:pt>
                <c:pt idx="49" formatCode="0.00">
                  <c:v>14.142683657091222</c:v>
                </c:pt>
                <c:pt idx="50" formatCode="0.00">
                  <c:v>14.437832688967335</c:v>
                </c:pt>
                <c:pt idx="51" formatCode="0.00">
                  <c:v>14.753789052026494</c:v>
                </c:pt>
                <c:pt idx="52" formatCode="0.00">
                  <c:v>14.497889987029357</c:v>
                </c:pt>
                <c:pt idx="53" formatCode="0.00">
                  <c:v>14.513657175738215</c:v>
                </c:pt>
                <c:pt idx="54" formatCode="0.00">
                  <c:v>14.874709379878839</c:v>
                </c:pt>
                <c:pt idx="55" formatCode="0.00">
                  <c:v>15.001649633171169</c:v>
                </c:pt>
                <c:pt idx="56" formatCode="0.00">
                  <c:v>14.859502073211965</c:v>
                </c:pt>
                <c:pt idx="57" formatCode="0.00">
                  <c:v>15.16816265153629</c:v>
                </c:pt>
                <c:pt idx="58" formatCode="0.00">
                  <c:v>15.257178437124193</c:v>
                </c:pt>
                <c:pt idx="59" formatCode="0.00">
                  <c:v>15.338465828803916</c:v>
                </c:pt>
                <c:pt idx="60" formatCode="0.00">
                  <c:v>15.356721938344553</c:v>
                </c:pt>
                <c:pt idx="61" formatCode="0.00">
                  <c:v>14.878857310513036</c:v>
                </c:pt>
                <c:pt idx="62" formatCode="0.00">
                  <c:v>16.305236187505955</c:v>
                </c:pt>
                <c:pt idx="63" formatCode="0.00">
                  <c:v>16.60603649474637</c:v>
                </c:pt>
                <c:pt idx="64" formatCode="0.00">
                  <c:v>16.947823905681677</c:v>
                </c:pt>
                <c:pt idx="65" formatCode="0.00">
                  <c:v>16.96556252621415</c:v>
                </c:pt>
                <c:pt idx="66" formatCode="0.00">
                  <c:v>17.542856723284498</c:v>
                </c:pt>
                <c:pt idx="67" formatCode="0.00">
                  <c:v>17.804548796066111</c:v>
                </c:pt>
                <c:pt idx="68" formatCode="0.00">
                  <c:v>17.881144132661369</c:v>
                </c:pt>
                <c:pt idx="69" formatCode="0.00">
                  <c:v>18.363325309361311</c:v>
                </c:pt>
                <c:pt idx="70" formatCode="0.00">
                  <c:v>18.590657676190826</c:v>
                </c:pt>
                <c:pt idx="71" formatCode="0.00">
                  <c:v>18.950705631554463</c:v>
                </c:pt>
                <c:pt idx="72" formatCode="0.00">
                  <c:v>19.243186808822113</c:v>
                </c:pt>
                <c:pt idx="73" formatCode="0.00">
                  <c:v>19.41735375740117</c:v>
                </c:pt>
                <c:pt idx="74" formatCode="0.00">
                  <c:v>19.709538196688015</c:v>
                </c:pt>
                <c:pt idx="75" formatCode="0.00">
                  <c:v>20.982356931134639</c:v>
                </c:pt>
                <c:pt idx="76" formatCode="0.00">
                  <c:v>21.118903362340497</c:v>
                </c:pt>
                <c:pt idx="77" formatCode="0.00">
                  <c:v>21.322777856467464</c:v>
                </c:pt>
                <c:pt idx="78" formatCode="0.00">
                  <c:v>21.561168849848912</c:v>
                </c:pt>
                <c:pt idx="79" formatCode="0.00">
                  <c:v>21.946120310917966</c:v>
                </c:pt>
                <c:pt idx="80" formatCode="0.00">
                  <c:v>22.372924158286136</c:v>
                </c:pt>
                <c:pt idx="81" formatCode="0.00">
                  <c:v>22.427604784658307</c:v>
                </c:pt>
                <c:pt idx="82" formatCode="0.00">
                  <c:v>22.334122197080983</c:v>
                </c:pt>
                <c:pt idx="83" formatCode="0.00">
                  <c:v>22.029271399225696</c:v>
                </c:pt>
                <c:pt idx="84" formatCode="0.00">
                  <c:v>22.338689174692494</c:v>
                </c:pt>
                <c:pt idx="85" formatCode="0.00">
                  <c:v>22.799811942542632</c:v>
                </c:pt>
                <c:pt idx="86" formatCode="0.00">
                  <c:v>23.088417184881212</c:v>
                </c:pt>
                <c:pt idx="87" formatCode="0.00">
                  <c:v>23.41423215341451</c:v>
                </c:pt>
                <c:pt idx="88" formatCode="0.00">
                  <c:v>23.282213441000408</c:v>
                </c:pt>
                <c:pt idx="89" formatCode="0.00">
                  <c:v>23.342522505448684</c:v>
                </c:pt>
                <c:pt idx="90" formatCode="0.00">
                  <c:v>23.519252478908523</c:v>
                </c:pt>
                <c:pt idx="91" formatCode="0.00">
                  <c:v>23.49873124546253</c:v>
                </c:pt>
                <c:pt idx="92" formatCode="0.00">
                  <c:v>23.803062389215814</c:v>
                </c:pt>
                <c:pt idx="93" formatCode="0.00">
                  <c:v>23.993780557635557</c:v>
                </c:pt>
                <c:pt idx="94" formatCode="0.00">
                  <c:v>23.945305843540613</c:v>
                </c:pt>
                <c:pt idx="95" formatCode="0.00">
                  <c:v>23.952125100999627</c:v>
                </c:pt>
                <c:pt idx="96" formatCode="0.00">
                  <c:v>24.27482807181627</c:v>
                </c:pt>
                <c:pt idx="97" formatCode="0.00">
                  <c:v>24.383260080936761</c:v>
                </c:pt>
                <c:pt idx="98" formatCode="0.00">
                  <c:v>24.504842840087854</c:v>
                </c:pt>
                <c:pt idx="99" formatCode="0.00">
                  <c:v>25.244408765044323</c:v>
                </c:pt>
                <c:pt idx="100" formatCode="0.00">
                  <c:v>26.29507488381601</c:v>
                </c:pt>
                <c:pt idx="101" formatCode="0.00">
                  <c:v>27.263229038651826</c:v>
                </c:pt>
                <c:pt idx="102" formatCode="0.00">
                  <c:v>28.002240518151545</c:v>
                </c:pt>
                <c:pt idx="103" formatCode="0.00">
                  <c:v>29.261938156248995</c:v>
                </c:pt>
                <c:pt idx="104" formatCode="0.00">
                  <c:v>30.242669606938751</c:v>
                </c:pt>
                <c:pt idx="105" formatCode="0.00">
                  <c:v>31.155834921820386</c:v>
                </c:pt>
                <c:pt idx="106" formatCode="0.00">
                  <c:v>31.822373019436487</c:v>
                </c:pt>
                <c:pt idx="107" formatCode="0.00">
                  <c:v>32.987328160871847</c:v>
                </c:pt>
                <c:pt idx="108" formatCode="0.00">
                  <c:v>33.788771282320639</c:v>
                </c:pt>
                <c:pt idx="109" formatCode="0.00">
                  <c:v>35.369614016507619</c:v>
                </c:pt>
                <c:pt idx="110" formatCode="0.00">
                  <c:v>36.612650303404848</c:v>
                </c:pt>
                <c:pt idx="111" formatCode="0.00">
                  <c:v>37.691945960418174</c:v>
                </c:pt>
                <c:pt idx="112" formatCode="0.00">
                  <c:v>38.936481302370872</c:v>
                </c:pt>
                <c:pt idx="113" formatCode="0.00">
                  <c:v>39.819358150639445</c:v>
                </c:pt>
                <c:pt idx="114" formatCode="0.00">
                  <c:v>41.660490018347019</c:v>
                </c:pt>
                <c:pt idx="115" formatCode="0.00">
                  <c:v>42.675841284668934</c:v>
                </c:pt>
                <c:pt idx="116" formatCode="0.00">
                  <c:v>43.444092478385315</c:v>
                </c:pt>
                <c:pt idx="117" formatCode="0.00">
                  <c:v>44.482040408174527</c:v>
                </c:pt>
                <c:pt idx="118" formatCode="0.00">
                  <c:v>45.861357199147939</c:v>
                </c:pt>
                <c:pt idx="119" formatCode="0.00">
                  <c:v>44.85609070252049</c:v>
                </c:pt>
                <c:pt idx="120" formatCode="0.00">
                  <c:v>45.874555746113032</c:v>
                </c:pt>
                <c:pt idx="121" formatCode="0.00">
                  <c:v>48.169392288228188</c:v>
                </c:pt>
                <c:pt idx="122" formatCode="0.00">
                  <c:v>49.164791797907476</c:v>
                </c:pt>
                <c:pt idx="123" formatCode="0.00">
                  <c:v>49.555012303885576</c:v>
                </c:pt>
                <c:pt idx="124" formatCode="0.00">
                  <c:v>52.03923449252644</c:v>
                </c:pt>
                <c:pt idx="125" formatCode="0.00">
                  <c:v>52.51124935516399</c:v>
                </c:pt>
                <c:pt idx="126" formatCode="0.00">
                  <c:v>53.840574588355267</c:v>
                </c:pt>
                <c:pt idx="127" formatCode="0.00">
                  <c:v>55.09668847426066</c:v>
                </c:pt>
                <c:pt idx="128" formatCode="0.00">
                  <c:v>55.369273124232507</c:v>
                </c:pt>
                <c:pt idx="129" formatCode="0.00">
                  <c:v>57.08860975802466</c:v>
                </c:pt>
                <c:pt idx="130" formatCode="0.00">
                  <c:v>58.000237150615909</c:v>
                </c:pt>
                <c:pt idx="131" formatCode="0.00">
                  <c:v>58.725893822415941</c:v>
                </c:pt>
                <c:pt idx="132" formatCode="0.00">
                  <c:v>58.421110093070361</c:v>
                </c:pt>
                <c:pt idx="133" formatCode="0.00">
                  <c:v>59.098928480824874</c:v>
                </c:pt>
                <c:pt idx="134" formatCode="0.00">
                  <c:v>61.003659310779895</c:v>
                </c:pt>
                <c:pt idx="135" formatCode="0.00">
                  <c:v>61.15198697516567</c:v>
                </c:pt>
                <c:pt idx="136" formatCode="0.00">
                  <c:v>61.158297455651947</c:v>
                </c:pt>
                <c:pt idx="137" formatCode="0.00">
                  <c:v>62.087395848013898</c:v>
                </c:pt>
                <c:pt idx="138" formatCode="0.00">
                  <c:v>62.670612755314714</c:v>
                </c:pt>
                <c:pt idx="139" formatCode="0.00">
                  <c:v>63.473975185345594</c:v>
                </c:pt>
                <c:pt idx="140" formatCode="0.00">
                  <c:v>63.732878143942031</c:v>
                </c:pt>
                <c:pt idx="141" formatCode="0.00">
                  <c:v>63.665866797567105</c:v>
                </c:pt>
                <c:pt idx="142" formatCode="0.00">
                  <c:v>64.108888066898288</c:v>
                </c:pt>
                <c:pt idx="143" formatCode="0.00">
                  <c:v>64.896971636718334</c:v>
                </c:pt>
                <c:pt idx="144" formatCode="0.00">
                  <c:v>65.481624544752236</c:v>
                </c:pt>
                <c:pt idx="145" formatCode="0.00">
                  <c:v>66.816797155122458</c:v>
                </c:pt>
                <c:pt idx="146" formatCode="0.00">
                  <c:v>66.113626678733183</c:v>
                </c:pt>
                <c:pt idx="147" formatCode="0.00">
                  <c:v>66.421765792662413</c:v>
                </c:pt>
                <c:pt idx="148" formatCode="0.00">
                  <c:v>65.841841561729638</c:v>
                </c:pt>
                <c:pt idx="149" formatCode="0.00">
                  <c:v>65.987735671257354</c:v>
                </c:pt>
                <c:pt idx="150" formatCode="0.00">
                  <c:v>66.298148068265149</c:v>
                </c:pt>
                <c:pt idx="151" formatCode="0.00">
                  <c:v>67.699807024134813</c:v>
                </c:pt>
                <c:pt idx="152" formatCode="0.00">
                  <c:v>68.002254715713931</c:v>
                </c:pt>
                <c:pt idx="153" formatCode="0.00">
                  <c:v>68.046484853852149</c:v>
                </c:pt>
                <c:pt idx="154" formatCode="0.00">
                  <c:v>67.901328433597627</c:v>
                </c:pt>
                <c:pt idx="155" formatCode="0.00">
                  <c:v>68.23206710765345</c:v>
                </c:pt>
                <c:pt idx="156" formatCode="0.00">
                  <c:v>69.332166480646677</c:v>
                </c:pt>
                <c:pt idx="157" formatCode="0.00">
                  <c:v>68.815678324467754</c:v>
                </c:pt>
                <c:pt idx="158" formatCode="0.00">
                  <c:v>69.839318590370027</c:v>
                </c:pt>
                <c:pt idx="159" formatCode="0.00">
                  <c:v>70.307035145629115</c:v>
                </c:pt>
                <c:pt idx="160" formatCode="0.00">
                  <c:v>70.859234922763008</c:v>
                </c:pt>
                <c:pt idx="161" formatCode="0.00">
                  <c:v>70.367219425271927</c:v>
                </c:pt>
                <c:pt idx="162" formatCode="0.00">
                  <c:v>71.107096911197871</c:v>
                </c:pt>
                <c:pt idx="163" formatCode="0.00">
                  <c:v>70.190216799754609</c:v>
                </c:pt>
                <c:pt idx="164" formatCode="0.00">
                  <c:v>71.281559209558779</c:v>
                </c:pt>
                <c:pt idx="165" formatCode="0.00">
                  <c:v>71.41242620949707</c:v>
                </c:pt>
                <c:pt idx="166" formatCode="0.00">
                  <c:v>73.611224162499539</c:v>
                </c:pt>
                <c:pt idx="167" formatCode="0.00">
                  <c:v>72.929268173255096</c:v>
                </c:pt>
                <c:pt idx="168" formatCode="0.00">
                  <c:v>73.852056461995829</c:v>
                </c:pt>
                <c:pt idx="169" formatCode="0.00">
                  <c:v>74.355691593072592</c:v>
                </c:pt>
                <c:pt idx="170" formatCode="0.00">
                  <c:v>74.34227162333157</c:v>
                </c:pt>
                <c:pt idx="171" formatCode="0.00">
                  <c:v>75.950238304192268</c:v>
                </c:pt>
                <c:pt idx="172" formatCode="0.00">
                  <c:v>75.868859242757054</c:v>
                </c:pt>
                <c:pt idx="173" formatCode="0.00">
                  <c:v>77.193163656595516</c:v>
                </c:pt>
                <c:pt idx="174" formatCode="0.00">
                  <c:v>78.528823568354852</c:v>
                </c:pt>
                <c:pt idx="175" formatCode="0.00">
                  <c:v>77.949630969065652</c:v>
                </c:pt>
                <c:pt idx="176" formatCode="0.00">
                  <c:v>80.456149123041982</c:v>
                </c:pt>
                <c:pt idx="177" formatCode="0.00">
                  <c:v>78.496773686897114</c:v>
                </c:pt>
                <c:pt idx="178" formatCode="0.00">
                  <c:v>78.809907132373255</c:v>
                </c:pt>
                <c:pt idx="179" formatCode="0.00">
                  <c:v>79.812693038648476</c:v>
                </c:pt>
                <c:pt idx="180" formatCode="0.00">
                  <c:v>80.554326462064992</c:v>
                </c:pt>
                <c:pt idx="181" formatCode="0.00">
                  <c:v>80.716837363902229</c:v>
                </c:pt>
                <c:pt idx="182" formatCode="0.00">
                  <c:v>79.864309542138642</c:v>
                </c:pt>
                <c:pt idx="183" formatCode="0.00">
                  <c:v>82.302339486626693</c:v>
                </c:pt>
                <c:pt idx="184" formatCode="0.00">
                  <c:v>81.13705784600775</c:v>
                </c:pt>
                <c:pt idx="185" formatCode="0.00">
                  <c:v>81.867561954252153</c:v>
                </c:pt>
                <c:pt idx="186" formatCode="0.00">
                  <c:v>83.989726102920912</c:v>
                </c:pt>
                <c:pt idx="187" formatCode="0.00">
                  <c:v>85.396215132731442</c:v>
                </c:pt>
                <c:pt idx="188" formatCode="0.00">
                  <c:v>84.514253640534051</c:v>
                </c:pt>
                <c:pt idx="189" formatCode="0.00">
                  <c:v>84.556151653111741</c:v>
                </c:pt>
                <c:pt idx="190" formatCode="0.00">
                  <c:v>85.407122168800328</c:v>
                </c:pt>
                <c:pt idx="191" formatCode="0.00">
                  <c:v>85.357576899921796</c:v>
                </c:pt>
                <c:pt idx="192" formatCode="0.00">
                  <c:v>86.180856882406573</c:v>
                </c:pt>
                <c:pt idx="193" formatCode="0.00">
                  <c:v>86.441239042103646</c:v>
                </c:pt>
                <c:pt idx="194" formatCode="0.00">
                  <c:v>84.079860159034823</c:v>
                </c:pt>
                <c:pt idx="195" formatCode="0.00">
                  <c:v>83.804994638523624</c:v>
                </c:pt>
                <c:pt idx="196" formatCode="0.00">
                  <c:v>85.891694958505298</c:v>
                </c:pt>
                <c:pt idx="197" formatCode="0.00">
                  <c:v>86.844209019837223</c:v>
                </c:pt>
                <c:pt idx="198" formatCode="0.00">
                  <c:v>85.8995544442827</c:v>
                </c:pt>
                <c:pt idx="199" formatCode="0.00">
                  <c:v>86.558240539272163</c:v>
                </c:pt>
                <c:pt idx="200" formatCode="0.00">
                  <c:v>86.330441894178051</c:v>
                </c:pt>
                <c:pt idx="201" formatCode="0.00">
                  <c:v>84.942522678724217</c:v>
                </c:pt>
                <c:pt idx="202" formatCode="0.00">
                  <c:v>86.205249314716582</c:v>
                </c:pt>
                <c:pt idx="203" formatCode="0.00">
                  <c:v>87.800121117743757</c:v>
                </c:pt>
                <c:pt idx="204" formatCode="0.00">
                  <c:v>86.063540831900966</c:v>
                </c:pt>
                <c:pt idx="205" formatCode="0.00">
                  <c:v>87.212440923916645</c:v>
                </c:pt>
                <c:pt idx="206" formatCode="0.00">
                  <c:v>90.395006851078563</c:v>
                </c:pt>
                <c:pt idx="207" formatCode="0.00">
                  <c:v>88.35318598453614</c:v>
                </c:pt>
                <c:pt idx="208" formatCode="0.00">
                  <c:v>90.853205481189761</c:v>
                </c:pt>
                <c:pt idx="209" formatCode="0.00">
                  <c:v>91.287570040502814</c:v>
                </c:pt>
                <c:pt idx="210" formatCode="0.00">
                  <c:v>92.535347746657521</c:v>
                </c:pt>
                <c:pt idx="211" formatCode="0.00">
                  <c:v>93.853225963051997</c:v>
                </c:pt>
                <c:pt idx="212" formatCode="0.00">
                  <c:v>95.207464757117563</c:v>
                </c:pt>
                <c:pt idx="213" formatCode="0.00">
                  <c:v>91.229753350726199</c:v>
                </c:pt>
                <c:pt idx="214" formatCode="0.00">
                  <c:v>92.822528370363017</c:v>
                </c:pt>
                <c:pt idx="215" formatCode="0.00">
                  <c:v>92.569537782641277</c:v>
                </c:pt>
                <c:pt idx="216" formatCode="0.00">
                  <c:v>91.303643821100934</c:v>
                </c:pt>
                <c:pt idx="217" formatCode="0.00">
                  <c:v>91.756751677221672</c:v>
                </c:pt>
                <c:pt idx="218" formatCode="0.00">
                  <c:v>92.704522351500302</c:v>
                </c:pt>
                <c:pt idx="219" formatCode="0.00">
                  <c:v>93.700278489116513</c:v>
                </c:pt>
                <c:pt idx="220" formatCode="0.00">
                  <c:v>94.600373978193034</c:v>
                </c:pt>
                <c:pt idx="221" formatCode="0.00">
                  <c:v>93.850551006487947</c:v>
                </c:pt>
                <c:pt idx="222" formatCode="0.00">
                  <c:v>95.46802497244758</c:v>
                </c:pt>
                <c:pt idx="223" formatCode="0.00">
                  <c:v>95.570955432584739</c:v>
                </c:pt>
                <c:pt idx="224" formatCode="0.00">
                  <c:v>94.974638308436582</c:v>
                </c:pt>
                <c:pt idx="225" formatCode="0.00">
                  <c:v>94.471149762557431</c:v>
                </c:pt>
                <c:pt idx="226" formatCode="0.00">
                  <c:v>93.026013477097749</c:v>
                </c:pt>
                <c:pt idx="227" formatCode="0.00">
                  <c:v>94.02957057311778</c:v>
                </c:pt>
                <c:pt idx="228" formatCode="0.00">
                  <c:v>95.586447776411873</c:v>
                </c:pt>
                <c:pt idx="229" formatCode="0.00">
                  <c:v>96.351701461174784</c:v>
                </c:pt>
                <c:pt idx="230" formatCode="0.00">
                  <c:v>96.186469517714301</c:v>
                </c:pt>
                <c:pt idx="231" formatCode="0.00">
                  <c:v>95.989951744931915</c:v>
                </c:pt>
                <c:pt idx="232" formatCode="0.00">
                  <c:v>97.136299105283754</c:v>
                </c:pt>
                <c:pt idx="233" formatCode="0.00">
                  <c:v>98.423211731398808</c:v>
                </c:pt>
                <c:pt idx="234" formatCode="0.00">
                  <c:v>98.170622921803698</c:v>
                </c:pt>
                <c:pt idx="235" formatCode="0.00">
                  <c:v>98.826477831326073</c:v>
                </c:pt>
                <c:pt idx="236" formatCode="0.00">
                  <c:v>98.935517167699416</c:v>
                </c:pt>
                <c:pt idx="237" formatCode="0.00">
                  <c:v>98.965270403398108</c:v>
                </c:pt>
                <c:pt idx="238" formatCode="0.00">
                  <c:v>99.18467326758747</c:v>
                </c:pt>
                <c:pt idx="239" formatCode="0.00">
                  <c:v>99.273710275449417</c:v>
                </c:pt>
                <c:pt idx="240" formatCode="0.00">
                  <c:v>98.55128229874407</c:v>
                </c:pt>
                <c:pt idx="241" formatCode="0.00">
                  <c:v>97.390401443904793</c:v>
                </c:pt>
                <c:pt idx="242" formatCode="0.00">
                  <c:v>97.55615726676352</c:v>
                </c:pt>
                <c:pt idx="243" formatCode="0.00">
                  <c:v>98.577952379053158</c:v>
                </c:pt>
                <c:pt idx="244" formatCode="0.00">
                  <c:v>98.689518745550657</c:v>
                </c:pt>
                <c:pt idx="245" formatCode="0.00">
                  <c:v>100.6395383543926</c:v>
                </c:pt>
                <c:pt idx="246" formatCode="0.00">
                  <c:v>101.44086754701881</c:v>
                </c:pt>
                <c:pt idx="247" formatCode="0.00">
                  <c:v>100.36616854145217</c:v>
                </c:pt>
                <c:pt idx="248" formatCode="0.00">
                  <c:v>101.14165160563225</c:v>
                </c:pt>
                <c:pt idx="249" formatCode="0.00">
                  <c:v>101.50369862795404</c:v>
                </c:pt>
                <c:pt idx="250" formatCode="0.00">
                  <c:v>101.73186759615854</c:v>
                </c:pt>
                <c:pt idx="251" formatCode="0.00">
                  <c:v>100.80846000404</c:v>
                </c:pt>
                <c:pt idx="252" formatCode="0.00">
                  <c:v>101.08060134778304</c:v>
                </c:pt>
                <c:pt idx="253" formatCode="0.00">
                  <c:v>101.70183395382719</c:v>
                </c:pt>
                <c:pt idx="254" formatCode="0.00">
                  <c:v>102.38524947010839</c:v>
                </c:pt>
                <c:pt idx="255" formatCode="0.00">
                  <c:v>103.55603489159337</c:v>
                </c:pt>
                <c:pt idx="256" formatCode="0.00">
                  <c:v>103.74673343824166</c:v>
                </c:pt>
                <c:pt idx="257" formatCode="0.00">
                  <c:v>105.82663189854391</c:v>
                </c:pt>
                <c:pt idx="258" formatCode="0.00">
                  <c:v>106.88566403383136</c:v>
                </c:pt>
                <c:pt idx="259" formatCode="0.00">
                  <c:v>106.3862812510431</c:v>
                </c:pt>
                <c:pt idx="260" formatCode="0.00">
                  <c:v>108.01547228235646</c:v>
                </c:pt>
                <c:pt idx="261" formatCode="0.00">
                  <c:v>104.90008385371338</c:v>
                </c:pt>
                <c:pt idx="262" formatCode="0.00">
                  <c:v>107.22610669769209</c:v>
                </c:pt>
                <c:pt idx="263" formatCode="0.00">
                  <c:v>107.88567784111292</c:v>
                </c:pt>
                <c:pt idx="264" formatCode="0.00">
                  <c:v>105.37961939960435</c:v>
                </c:pt>
                <c:pt idx="265" formatCode="0.00">
                  <c:v>105.30042029559958</c:v>
                </c:pt>
                <c:pt idx="266" formatCode="0.00">
                  <c:v>105.19185716530335</c:v>
                </c:pt>
                <c:pt idx="267" formatCode="0.00">
                  <c:v>101.93240764397973</c:v>
                </c:pt>
                <c:pt idx="268" formatCode="0.00">
                  <c:v>104.39109673444239</c:v>
                </c:pt>
                <c:pt idx="269" formatCode="0.00">
                  <c:v>106.57968943853444</c:v>
                </c:pt>
                <c:pt idx="270" formatCode="0.00">
                  <c:v>108.2776084757426</c:v>
                </c:pt>
                <c:pt idx="271" formatCode="0.00">
                  <c:v>105.01056845324605</c:v>
                </c:pt>
                <c:pt idx="272" formatCode="0.00">
                  <c:v>109.865995068122</c:v>
                </c:pt>
                <c:pt idx="273" formatCode="0.00">
                  <c:v>107.70437325789675</c:v>
                </c:pt>
                <c:pt idx="274" formatCode="0.00">
                  <c:v>107.6407669947139</c:v>
                </c:pt>
                <c:pt idx="275" formatCode="0.00">
                  <c:v>107.44323845317479</c:v>
                </c:pt>
                <c:pt idx="276" formatCode="0.00">
                  <c:v>108.67531214109002</c:v>
                </c:pt>
                <c:pt idx="277" formatCode="0.00">
                  <c:v>109.19679630665921</c:v>
                </c:pt>
                <c:pt idx="278" formatCode="0.00">
                  <c:v>111.0151641207875</c:v>
                </c:pt>
                <c:pt idx="279" formatCode="0.00">
                  <c:v>111.02690785754663</c:v>
                </c:pt>
                <c:pt idx="280" formatCode="0.00">
                  <c:v>112.36937395453779</c:v>
                </c:pt>
                <c:pt idx="281" formatCode="0.00">
                  <c:v>109.99540406966395</c:v>
                </c:pt>
                <c:pt idx="282" formatCode="0.00">
                  <c:v>111.28007762173152</c:v>
                </c:pt>
                <c:pt idx="283" formatCode="0.00">
                  <c:v>111.18872725451781</c:v>
                </c:pt>
                <c:pt idx="284" formatCode="0.00">
                  <c:v>111.71916710114704</c:v>
                </c:pt>
                <c:pt idx="285" formatCode="0.00">
                  <c:v>111.40203504551823</c:v>
                </c:pt>
                <c:pt idx="286" formatCode="0.00">
                  <c:v>112.14598486044734</c:v>
                </c:pt>
                <c:pt idx="287" formatCode="0.00">
                  <c:v>111.93734570340281</c:v>
                </c:pt>
                <c:pt idx="288" formatCode="0.00">
                  <c:v>109.33653154009393</c:v>
                </c:pt>
                <c:pt idx="289" formatCode="0.00">
                  <c:v>112.53855610033399</c:v>
                </c:pt>
                <c:pt idx="290" formatCode="0.00">
                  <c:v>113.70770841496081</c:v>
                </c:pt>
                <c:pt idx="291" formatCode="0.00">
                  <c:v>113.73875890481504</c:v>
                </c:pt>
                <c:pt idx="292" formatCode="0.00">
                  <c:v>114.82056629965841</c:v>
                </c:pt>
                <c:pt idx="293" formatCode="0.00">
                  <c:v>113.37108633858514</c:v>
                </c:pt>
                <c:pt idx="294" formatCode="0.00">
                  <c:v>115.2068914362778</c:v>
                </c:pt>
                <c:pt idx="295" formatCode="0.00">
                  <c:v>115.61817157747586</c:v>
                </c:pt>
                <c:pt idx="296" formatCode="0.00">
                  <c:v>115.36260469757993</c:v>
                </c:pt>
                <c:pt idx="297" formatCode="0.00">
                  <c:v>116.87549384524158</c:v>
                </c:pt>
                <c:pt idx="298" formatCode="0.00">
                  <c:v>113.04728418399495</c:v>
                </c:pt>
                <c:pt idx="299" formatCode="0.00">
                  <c:v>115.22652856423464</c:v>
                </c:pt>
                <c:pt idx="300" formatCode="0.00">
                  <c:v>106.54568956299927</c:v>
                </c:pt>
                <c:pt idx="301" formatCode="0.00">
                  <c:v>101.12629347961601</c:v>
                </c:pt>
                <c:pt idx="302" formatCode="0.00">
                  <c:v>103.60840197408794</c:v>
                </c:pt>
                <c:pt idx="303" formatCode="0.00">
                  <c:v>105.70582642708609</c:v>
                </c:pt>
                <c:pt idx="304" formatCode="0.00">
                  <c:v>109.04410227124808</c:v>
                </c:pt>
                <c:pt idx="305" formatCode="0.00">
                  <c:v>111.9719700897133</c:v>
                </c:pt>
                <c:pt idx="306" formatCode="0.00">
                  <c:v>113.06804491906395</c:v>
                </c:pt>
                <c:pt idx="307" formatCode="0.00">
                  <c:v>110.36930236566553</c:v>
                </c:pt>
                <c:pt idx="308" formatCode="0.00">
                  <c:v>113.6788481762938</c:v>
                </c:pt>
                <c:pt idx="309" formatCode="0.00">
                  <c:v>113.37488260834776</c:v>
                </c:pt>
                <c:pt idx="310" formatCode="0.00">
                  <c:v>113.81711366538951</c:v>
                </c:pt>
                <c:pt idx="311" formatCode="0.00">
                  <c:v>114.92678276122365</c:v>
                </c:pt>
                <c:pt idx="312" formatCode="0.00">
                  <c:v>114.5091451679173</c:v>
                </c:pt>
                <c:pt idx="313" formatCode="0.00">
                  <c:v>114.39476919040516</c:v>
                </c:pt>
                <c:pt idx="314" formatCode="0.00">
                  <c:v>116.81247103903047</c:v>
                </c:pt>
                <c:pt idx="315" formatCode="0.00">
                  <c:v>118.39448027668723</c:v>
                </c:pt>
                <c:pt idx="316" formatCode="0.00">
                  <c:v>117.17952726894846</c:v>
                </c:pt>
                <c:pt idx="317" formatCode="0.00">
                  <c:v>122.13595324013262</c:v>
                </c:pt>
                <c:pt idx="318" formatCode="0.00">
                  <c:v>121.18584357288158</c:v>
                </c:pt>
                <c:pt idx="319" formatCode="0.00">
                  <c:v>118.78601261682456</c:v>
                </c:pt>
                <c:pt idx="320" formatCode="0.00">
                  <c:v>120.13034309430039</c:v>
                </c:pt>
                <c:pt idx="321" formatCode="0.00">
                  <c:v>122.74160423324776</c:v>
                </c:pt>
                <c:pt idx="322" formatCode="0.00">
                  <c:v>123.43600209113713</c:v>
                </c:pt>
                <c:pt idx="323" formatCode="0.00">
                  <c:v>122.80671173478721</c:v>
                </c:pt>
                <c:pt idx="324" formatCode="0.00">
                  <c:v>122.34046408078098</c:v>
                </c:pt>
                <c:pt idx="325" formatCode="0.00">
                  <c:v>123.1284687683969</c:v>
                </c:pt>
                <c:pt idx="326" formatCode="0.00">
                  <c:v>126.02962213129167</c:v>
                </c:pt>
                <c:pt idx="327" formatCode="0.00">
                  <c:v>123.28150483746795</c:v>
                </c:pt>
                <c:pt idx="328" formatCode="0.00">
                  <c:v>124.94028497528556</c:v>
                </c:pt>
                <c:pt idx="329" formatCode="0.00">
                  <c:v>127.20498176630686</c:v>
                </c:pt>
                <c:pt idx="330" formatCode="0.00">
                  <c:v>125.42745685573348</c:v>
                </c:pt>
                <c:pt idx="331" formatCode="0.00">
                  <c:v>130.36653408825043</c:v>
                </c:pt>
                <c:pt idx="332" formatCode="0.00">
                  <c:v>130.26799053270543</c:v>
                </c:pt>
                <c:pt idx="333" formatCode="0.00">
                  <c:v>130.62367757709896</c:v>
                </c:pt>
                <c:pt idx="334" formatCode="0.00">
                  <c:v>129.73683902410468</c:v>
                </c:pt>
                <c:pt idx="335" formatCode="0.00">
                  <c:v>130.48814231155004</c:v>
                </c:pt>
                <c:pt idx="336" formatCode="0.00">
                  <c:v>129.47722574769799</c:v>
                </c:pt>
                <c:pt idx="337" formatCode="0.00">
                  <c:v>128.43957896998012</c:v>
                </c:pt>
                <c:pt idx="338" formatCode="0.00">
                  <c:v>129.11084774949526</c:v>
                </c:pt>
                <c:pt idx="339" formatCode="0.00">
                  <c:v>130.60143616302165</c:v>
                </c:pt>
                <c:pt idx="340" formatCode="0.00">
                  <c:v>129.00025942628156</c:v>
                </c:pt>
                <c:pt idx="341" formatCode="0.00">
                  <c:v>130.31267569909747</c:v>
                </c:pt>
                <c:pt idx="342" formatCode="0.00">
                  <c:v>131.90042777780687</c:v>
                </c:pt>
                <c:pt idx="343" formatCode="0.00">
                  <c:v>131.42785248657293</c:v>
                </c:pt>
                <c:pt idx="344" formatCode="0.00">
                  <c:v>131.61244968593769</c:v>
                </c:pt>
                <c:pt idx="345" formatCode="0.00">
                  <c:v>132.83425018411154</c:v>
                </c:pt>
                <c:pt idx="346" formatCode="0.00">
                  <c:v>131.29638748332201</c:v>
                </c:pt>
                <c:pt idx="347" formatCode="0.00">
                  <c:v>131.68679620442555</c:v>
                </c:pt>
                <c:pt idx="348" formatCode="0.00">
                  <c:v>131.47102826690244</c:v>
                </c:pt>
                <c:pt idx="349" formatCode="0.00">
                  <c:v>131.96906541376049</c:v>
                </c:pt>
                <c:pt idx="350" formatCode="0.00">
                  <c:v>130.59669658220935</c:v>
                </c:pt>
                <c:pt idx="351" formatCode="0.00">
                  <c:v>110.12402898531819</c:v>
                </c:pt>
                <c:pt idx="352" formatCode="0.00">
                  <c:v>111.041988014941</c:v>
                </c:pt>
                <c:pt idx="353" formatCode="0.00">
                  <c:v>126.86263501364282</c:v>
                </c:pt>
                <c:pt idx="354" formatCode="0.00">
                  <c:v>130.99085457363202</c:v>
                </c:pt>
                <c:pt idx="355" formatCode="0.00">
                  <c:v>130.7932208692304</c:v>
                </c:pt>
                <c:pt idx="356" formatCode="0.00">
                  <c:v>133.04884362805748</c:v>
                </c:pt>
                <c:pt idx="357" formatCode="0.00">
                  <c:v>128.35282760744553</c:v>
                </c:pt>
                <c:pt idx="358" formatCode="0.00">
                  <c:v>128.5500517075813</c:v>
                </c:pt>
                <c:pt idx="359" formatCode="0.00">
                  <c:v>128.47255605168155</c:v>
                </c:pt>
                <c:pt idx="360" formatCode="0.00">
                  <c:v>133.12407888544334</c:v>
                </c:pt>
                <c:pt idx="361" formatCode="0.00">
                  <c:v>129.65178361931288</c:v>
                </c:pt>
                <c:pt idx="362" formatCode="0.00">
                  <c:v>126.76843694483014</c:v>
                </c:pt>
                <c:pt idx="363" formatCode="0.00">
                  <c:v>125.79911289432033</c:v>
                </c:pt>
                <c:pt idx="364" formatCode="0.00">
                  <c:v>131.99012125601172</c:v>
                </c:pt>
                <c:pt idx="365" formatCode="0.00">
                  <c:v>129.49836514142626</c:v>
                </c:pt>
                <c:pt idx="366" formatCode="0.00">
                  <c:v>131.44252793675926</c:v>
                </c:pt>
                <c:pt idx="367" formatCode="0.00">
                  <c:v>131.66476717681536</c:v>
                </c:pt>
                <c:pt idx="368" formatCode="0.00">
                  <c:v>130.75225972048241</c:v>
                </c:pt>
                <c:pt idx="369" formatCode="0.00">
                  <c:v>132.9855000932954</c:v>
                </c:pt>
                <c:pt idx="370" formatCode="0.00">
                  <c:v>132.37832952246418</c:v>
                </c:pt>
                <c:pt idx="371" formatCode="0.00">
                  <c:v>132.40407147704138</c:v>
                </c:pt>
                <c:pt idx="372" formatCode="0.00">
                  <c:v>132.07169899535879</c:v>
                </c:pt>
                <c:pt idx="373" formatCode="0.00">
                  <c:v>134.17247663164332</c:v>
                </c:pt>
                <c:pt idx="374" formatCode="0.00">
                  <c:v>132.8330998906805</c:v>
                </c:pt>
                <c:pt idx="375" formatCode="0.00">
                  <c:v>135.8429658191553</c:v>
                </c:pt>
                <c:pt idx="376" formatCode="0.00">
                  <c:v>136.12434787222128</c:v>
                </c:pt>
                <c:pt idx="377" formatCode="0.00">
                  <c:v>136.42129145876137</c:v>
                </c:pt>
                <c:pt idx="378" formatCode="0.00">
                  <c:v>137.50320878616694</c:v>
                </c:pt>
                <c:pt idx="379" formatCode="0.00">
                  <c:v>140.02425589710251</c:v>
                </c:pt>
                <c:pt idx="380" formatCode="0.00">
                  <c:v>140.68645452150238</c:v>
                </c:pt>
                <c:pt idx="381" formatCode="0.00">
                  <c:v>139.44905751654312</c:v>
                </c:pt>
                <c:pt idx="382" formatCode="0.00">
                  <c:v>140.30361615210734</c:v>
                </c:pt>
                <c:pt idx="383" formatCode="0.00">
                  <c:v>140.49290960321494</c:v>
                </c:pt>
                <c:pt idx="384" formatCode="0.00">
                  <c:v>140.35343684258666</c:v>
                </c:pt>
                <c:pt idx="385" formatCode="0.00">
                  <c:v>141.53466178042447</c:v>
                </c:pt>
                <c:pt idx="386" formatCode="0.00">
                  <c:v>140.57732382163309</c:v>
                </c:pt>
                <c:pt idx="387" formatCode="0.00">
                  <c:v>140.24021913822835</c:v>
                </c:pt>
                <c:pt idx="388" formatCode="0.00">
                  <c:v>141.63721964189182</c:v>
                </c:pt>
                <c:pt idx="389" formatCode="0.00">
                  <c:v>140.56019732396268</c:v>
                </c:pt>
                <c:pt idx="390" formatCode="0.00">
                  <c:v>142.30785398292591</c:v>
                </c:pt>
                <c:pt idx="391" formatCode="0.00">
                  <c:v>144.96396488074038</c:v>
                </c:pt>
                <c:pt idx="392" formatCode="0.00">
                  <c:v>149.95533232056971</c:v>
                </c:pt>
                <c:pt idx="393" formatCode="0.00">
                  <c:v>143.61984389988663</c:v>
                </c:pt>
                <c:pt idx="394" formatCode="0.00">
                  <c:v>149.57245425144779</c:v>
                </c:pt>
                <c:pt idx="395" formatCode="0.00">
                  <c:v>146.84490511013658</c:v>
                </c:pt>
                <c:pt idx="396" formatCode="0.00">
                  <c:v>153.53633611129575</c:v>
                </c:pt>
                <c:pt idx="397" formatCode="0.00">
                  <c:v>148.96304887258603</c:v>
                </c:pt>
                <c:pt idx="398" formatCode="0.00">
                  <c:v>150.70880268640289</c:v>
                </c:pt>
                <c:pt idx="399" formatCode="0.00">
                  <c:v>153.41506863669704</c:v>
                </c:pt>
                <c:pt idx="400" formatCode="0.00">
                  <c:v>153.3006025957973</c:v>
                </c:pt>
                <c:pt idx="401" formatCode="0.00">
                  <c:v>148.95129350299149</c:v>
                </c:pt>
                <c:pt idx="402" formatCode="0.00">
                  <c:v>151.97684096997125</c:v>
                </c:pt>
                <c:pt idx="403" formatCode="0.00">
                  <c:v>151.82594360624691</c:v>
                </c:pt>
                <c:pt idx="404" formatCode="0.00">
                  <c:v>151.32683299710905</c:v>
                </c:pt>
                <c:pt idx="405" formatCode="0.00">
                  <c:v>151.3893722723904</c:v>
                </c:pt>
                <c:pt idx="406" formatCode="0.00">
                  <c:v>151.96553559095594</c:v>
                </c:pt>
                <c:pt idx="407" formatCode="0.00">
                  <c:v>151.97379854436358</c:v>
                </c:pt>
                <c:pt idx="408" formatCode="0.00">
                  <c:v>152.76826460944167</c:v>
                </c:pt>
                <c:pt idx="409" formatCode="0.00">
                  <c:v>151.6441969447246</c:v>
                </c:pt>
                <c:pt idx="410" formatCode="0.00">
                  <c:v>153.3425982122339</c:v>
                </c:pt>
                <c:pt idx="411" formatCode="0.00">
                  <c:v>153.31009255025438</c:v>
                </c:pt>
                <c:pt idx="412" formatCode="0.00">
                  <c:v>156.98250937508945</c:v>
                </c:pt>
                <c:pt idx="413" formatCode="0.00">
                  <c:v>155.86334107969643</c:v>
                </c:pt>
                <c:pt idx="414" formatCode="0.00">
                  <c:v>156.59997113497286</c:v>
                </c:pt>
                <c:pt idx="415" formatCode="0.00">
                  <c:v>156.68500367202725</c:v>
                </c:pt>
                <c:pt idx="416" formatCode="0.00">
                  <c:v>159.2350003285799</c:v>
                </c:pt>
                <c:pt idx="417" formatCode="0.00">
                  <c:v>159.62400070486652</c:v>
                </c:pt>
                <c:pt idx="418" formatCode="0.00">
                  <c:v>157.1895832834104</c:v>
                </c:pt>
                <c:pt idx="419" formatCode="0.00">
                  <c:v>155.15026910287617</c:v>
                </c:pt>
                <c:pt idx="420" formatCode="0.00">
                  <c:v>159.16620878272843</c:v>
                </c:pt>
                <c:pt idx="421" formatCode="0.00">
                  <c:v>153.57120951478953</c:v>
                </c:pt>
                <c:pt idx="422" formatCode="0.00">
                  <c:v>155.43411242791785</c:v>
                </c:pt>
                <c:pt idx="423" formatCode="0.00">
                  <c:v>156.91336412172021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7-4CF5-8160-1F5CDBA2D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484152"/>
        <c:axId val="255491040"/>
      </c:lineChart>
      <c:dateAx>
        <c:axId val="255716800"/>
        <c:scaling>
          <c:orientation val="minMax"/>
          <c:max val="46388"/>
          <c:min val="343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719752"/>
        <c:crosses val="autoZero"/>
        <c:auto val="1"/>
        <c:lblOffset val="100"/>
        <c:baseTimeUnit val="months"/>
        <c:majorUnit val="12"/>
        <c:majorTimeUnit val="months"/>
      </c:dateAx>
      <c:valAx>
        <c:axId val="255719752"/>
        <c:scaling>
          <c:logBase val="10"/>
          <c:orientation val="minMax"/>
          <c:max val="100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OIl</a:t>
                </a:r>
                <a:r>
                  <a:rPr lang="en-US" baseline="0"/>
                  <a:t> Production BPD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716800"/>
        <c:crosses val="autoZero"/>
        <c:crossBetween val="between"/>
      </c:valAx>
      <c:valAx>
        <c:axId val="255491040"/>
        <c:scaling>
          <c:orientation val="minMax"/>
          <c:max val="18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Oil</a:t>
                </a:r>
                <a:r>
                  <a:rPr lang="en-US" baseline="0"/>
                  <a:t> Price ($/BBL) &amp; WOR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484152"/>
        <c:crosses val="max"/>
        <c:crossBetween val="between"/>
      </c:valAx>
      <c:dateAx>
        <c:axId val="255484152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25549104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0529546532365257"/>
          <c:y val="0.87738898704361823"/>
          <c:w val="0.23431852552393384"/>
          <c:h val="2.7317422112512132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ETSWD</a:t>
            </a:r>
            <a:r>
              <a:rPr lang="en-US" baseline="0"/>
              <a:t> Water Disposal Volumes vs. East Texas Sweet Oil Price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Monthly Disposal</c:v>
          </c:tx>
          <c:spPr>
            <a:ln w="158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'Input Data'!$A$2:$A$434</c:f>
              <c:numCache>
                <c:formatCode>[$-409]mmm\-yy;@</c:formatCode>
                <c:ptCount val="433"/>
                <c:pt idx="0">
                  <c:v>33239</c:v>
                </c:pt>
                <c:pt idx="1">
                  <c:v>33270</c:v>
                </c:pt>
                <c:pt idx="2">
                  <c:v>33298</c:v>
                </c:pt>
                <c:pt idx="3">
                  <c:v>33329</c:v>
                </c:pt>
                <c:pt idx="4">
                  <c:v>33359</c:v>
                </c:pt>
                <c:pt idx="5">
                  <c:v>33390</c:v>
                </c:pt>
                <c:pt idx="6">
                  <c:v>33420</c:v>
                </c:pt>
                <c:pt idx="7">
                  <c:v>33451</c:v>
                </c:pt>
                <c:pt idx="8">
                  <c:v>33482</c:v>
                </c:pt>
                <c:pt idx="9">
                  <c:v>33512</c:v>
                </c:pt>
                <c:pt idx="10">
                  <c:v>33543</c:v>
                </c:pt>
                <c:pt idx="11">
                  <c:v>33573</c:v>
                </c:pt>
                <c:pt idx="12">
                  <c:v>33604</c:v>
                </c:pt>
                <c:pt idx="13">
                  <c:v>33635</c:v>
                </c:pt>
                <c:pt idx="14">
                  <c:v>33664</c:v>
                </c:pt>
                <c:pt idx="15">
                  <c:v>33695</c:v>
                </c:pt>
                <c:pt idx="16">
                  <c:v>33725</c:v>
                </c:pt>
                <c:pt idx="17">
                  <c:v>33756</c:v>
                </c:pt>
                <c:pt idx="18">
                  <c:v>33786</c:v>
                </c:pt>
                <c:pt idx="19">
                  <c:v>33817</c:v>
                </c:pt>
                <c:pt idx="20">
                  <c:v>33848</c:v>
                </c:pt>
                <c:pt idx="21">
                  <c:v>33878</c:v>
                </c:pt>
                <c:pt idx="22">
                  <c:v>33909</c:v>
                </c:pt>
                <c:pt idx="23">
                  <c:v>33939</c:v>
                </c:pt>
                <c:pt idx="24">
                  <c:v>33970</c:v>
                </c:pt>
                <c:pt idx="25">
                  <c:v>34001</c:v>
                </c:pt>
                <c:pt idx="26">
                  <c:v>34029</c:v>
                </c:pt>
                <c:pt idx="27">
                  <c:v>34060</c:v>
                </c:pt>
                <c:pt idx="28">
                  <c:v>34090</c:v>
                </c:pt>
                <c:pt idx="29">
                  <c:v>34121</c:v>
                </c:pt>
                <c:pt idx="30">
                  <c:v>34151</c:v>
                </c:pt>
                <c:pt idx="31">
                  <c:v>34182</c:v>
                </c:pt>
                <c:pt idx="32">
                  <c:v>34213</c:v>
                </c:pt>
                <c:pt idx="33">
                  <c:v>34243</c:v>
                </c:pt>
                <c:pt idx="34">
                  <c:v>34274</c:v>
                </c:pt>
                <c:pt idx="35">
                  <c:v>34304</c:v>
                </c:pt>
                <c:pt idx="36">
                  <c:v>34335</c:v>
                </c:pt>
                <c:pt idx="37">
                  <c:v>34366</c:v>
                </c:pt>
                <c:pt idx="38">
                  <c:v>34394</c:v>
                </c:pt>
                <c:pt idx="39">
                  <c:v>34425</c:v>
                </c:pt>
                <c:pt idx="40">
                  <c:v>34455</c:v>
                </c:pt>
                <c:pt idx="41">
                  <c:v>34486</c:v>
                </c:pt>
                <c:pt idx="42">
                  <c:v>34516</c:v>
                </c:pt>
                <c:pt idx="43">
                  <c:v>34547</c:v>
                </c:pt>
                <c:pt idx="44">
                  <c:v>34578</c:v>
                </c:pt>
                <c:pt idx="45">
                  <c:v>34608</c:v>
                </c:pt>
                <c:pt idx="46">
                  <c:v>34639</c:v>
                </c:pt>
                <c:pt idx="47">
                  <c:v>34669</c:v>
                </c:pt>
                <c:pt idx="48">
                  <c:v>34700</c:v>
                </c:pt>
                <c:pt idx="49">
                  <c:v>34731</c:v>
                </c:pt>
                <c:pt idx="50">
                  <c:v>34759</c:v>
                </c:pt>
                <c:pt idx="51">
                  <c:v>34790</c:v>
                </c:pt>
                <c:pt idx="52">
                  <c:v>34820</c:v>
                </c:pt>
                <c:pt idx="53">
                  <c:v>34851</c:v>
                </c:pt>
                <c:pt idx="54">
                  <c:v>34881</c:v>
                </c:pt>
                <c:pt idx="55">
                  <c:v>34912</c:v>
                </c:pt>
                <c:pt idx="56">
                  <c:v>34943</c:v>
                </c:pt>
                <c:pt idx="57">
                  <c:v>34973</c:v>
                </c:pt>
                <c:pt idx="58">
                  <c:v>35004</c:v>
                </c:pt>
                <c:pt idx="59">
                  <c:v>35034</c:v>
                </c:pt>
                <c:pt idx="60">
                  <c:v>35065</c:v>
                </c:pt>
                <c:pt idx="61">
                  <c:v>35096</c:v>
                </c:pt>
                <c:pt idx="62">
                  <c:v>35125</c:v>
                </c:pt>
                <c:pt idx="63">
                  <c:v>35156</c:v>
                </c:pt>
                <c:pt idx="64">
                  <c:v>35186</c:v>
                </c:pt>
                <c:pt idx="65">
                  <c:v>35217</c:v>
                </c:pt>
                <c:pt idx="66">
                  <c:v>35247</c:v>
                </c:pt>
                <c:pt idx="67">
                  <c:v>35278</c:v>
                </c:pt>
                <c:pt idx="68">
                  <c:v>35309</c:v>
                </c:pt>
                <c:pt idx="69">
                  <c:v>35339</c:v>
                </c:pt>
                <c:pt idx="70">
                  <c:v>35370</c:v>
                </c:pt>
                <c:pt idx="71">
                  <c:v>35400</c:v>
                </c:pt>
                <c:pt idx="72">
                  <c:v>35431</c:v>
                </c:pt>
                <c:pt idx="73">
                  <c:v>35462</c:v>
                </c:pt>
                <c:pt idx="74">
                  <c:v>35490</c:v>
                </c:pt>
                <c:pt idx="75">
                  <c:v>35521</c:v>
                </c:pt>
                <c:pt idx="76">
                  <c:v>35551</c:v>
                </c:pt>
                <c:pt idx="77">
                  <c:v>35582</c:v>
                </c:pt>
                <c:pt idx="78">
                  <c:v>35612</c:v>
                </c:pt>
                <c:pt idx="79">
                  <c:v>35643</c:v>
                </c:pt>
                <c:pt idx="80">
                  <c:v>35674</c:v>
                </c:pt>
                <c:pt idx="81">
                  <c:v>35704</c:v>
                </c:pt>
                <c:pt idx="82">
                  <c:v>35735</c:v>
                </c:pt>
                <c:pt idx="83">
                  <c:v>35765</c:v>
                </c:pt>
                <c:pt idx="84">
                  <c:v>35796</c:v>
                </c:pt>
                <c:pt idx="85">
                  <c:v>35827</c:v>
                </c:pt>
                <c:pt idx="86">
                  <c:v>35855</c:v>
                </c:pt>
                <c:pt idx="87">
                  <c:v>35886</c:v>
                </c:pt>
                <c:pt idx="88">
                  <c:v>35916</c:v>
                </c:pt>
                <c:pt idx="89">
                  <c:v>35947</c:v>
                </c:pt>
                <c:pt idx="90">
                  <c:v>35977</c:v>
                </c:pt>
                <c:pt idx="91">
                  <c:v>36008</c:v>
                </c:pt>
                <c:pt idx="92">
                  <c:v>36039</c:v>
                </c:pt>
                <c:pt idx="93">
                  <c:v>36069</c:v>
                </c:pt>
                <c:pt idx="94">
                  <c:v>36100</c:v>
                </c:pt>
                <c:pt idx="95">
                  <c:v>36130</c:v>
                </c:pt>
                <c:pt idx="96">
                  <c:v>36161</c:v>
                </c:pt>
                <c:pt idx="97">
                  <c:v>36192</c:v>
                </c:pt>
                <c:pt idx="98">
                  <c:v>36220</c:v>
                </c:pt>
                <c:pt idx="99">
                  <c:v>36251</c:v>
                </c:pt>
                <c:pt idx="100">
                  <c:v>36281</c:v>
                </c:pt>
                <c:pt idx="101">
                  <c:v>36312</c:v>
                </c:pt>
                <c:pt idx="102">
                  <c:v>36342</c:v>
                </c:pt>
                <c:pt idx="103">
                  <c:v>36373</c:v>
                </c:pt>
                <c:pt idx="104">
                  <c:v>36404</c:v>
                </c:pt>
                <c:pt idx="105">
                  <c:v>36434</c:v>
                </c:pt>
                <c:pt idx="106">
                  <c:v>36465</c:v>
                </c:pt>
                <c:pt idx="107">
                  <c:v>36495</c:v>
                </c:pt>
                <c:pt idx="108">
                  <c:v>36526</c:v>
                </c:pt>
                <c:pt idx="109">
                  <c:v>36557</c:v>
                </c:pt>
                <c:pt idx="110">
                  <c:v>36586</c:v>
                </c:pt>
                <c:pt idx="111">
                  <c:v>36617</c:v>
                </c:pt>
                <c:pt idx="112">
                  <c:v>36647</c:v>
                </c:pt>
                <c:pt idx="113">
                  <c:v>36678</c:v>
                </c:pt>
                <c:pt idx="114">
                  <c:v>36708</c:v>
                </c:pt>
                <c:pt idx="115">
                  <c:v>36739</c:v>
                </c:pt>
                <c:pt idx="116">
                  <c:v>36770</c:v>
                </c:pt>
                <c:pt idx="117">
                  <c:v>36800</c:v>
                </c:pt>
                <c:pt idx="118">
                  <c:v>36831</c:v>
                </c:pt>
                <c:pt idx="119">
                  <c:v>36861</c:v>
                </c:pt>
                <c:pt idx="120">
                  <c:v>36892</c:v>
                </c:pt>
                <c:pt idx="121">
                  <c:v>36923</c:v>
                </c:pt>
                <c:pt idx="122">
                  <c:v>36951</c:v>
                </c:pt>
                <c:pt idx="123">
                  <c:v>36982</c:v>
                </c:pt>
                <c:pt idx="124">
                  <c:v>37012</c:v>
                </c:pt>
                <c:pt idx="125">
                  <c:v>37043</c:v>
                </c:pt>
                <c:pt idx="126">
                  <c:v>37073</c:v>
                </c:pt>
                <c:pt idx="127">
                  <c:v>37104</c:v>
                </c:pt>
                <c:pt idx="128">
                  <c:v>37135</c:v>
                </c:pt>
                <c:pt idx="129">
                  <c:v>37165</c:v>
                </c:pt>
                <c:pt idx="130">
                  <c:v>37196</c:v>
                </c:pt>
                <c:pt idx="131">
                  <c:v>37226</c:v>
                </c:pt>
                <c:pt idx="132">
                  <c:v>37257</c:v>
                </c:pt>
                <c:pt idx="133">
                  <c:v>37288</c:v>
                </c:pt>
                <c:pt idx="134">
                  <c:v>37316</c:v>
                </c:pt>
                <c:pt idx="135">
                  <c:v>37347</c:v>
                </c:pt>
                <c:pt idx="136">
                  <c:v>37377</c:v>
                </c:pt>
                <c:pt idx="137">
                  <c:v>37408</c:v>
                </c:pt>
                <c:pt idx="138">
                  <c:v>37438</c:v>
                </c:pt>
                <c:pt idx="139">
                  <c:v>37469</c:v>
                </c:pt>
                <c:pt idx="140">
                  <c:v>37500</c:v>
                </c:pt>
                <c:pt idx="141">
                  <c:v>37530</c:v>
                </c:pt>
                <c:pt idx="142">
                  <c:v>37561</c:v>
                </c:pt>
                <c:pt idx="143">
                  <c:v>37591</c:v>
                </c:pt>
                <c:pt idx="144">
                  <c:v>37622</c:v>
                </c:pt>
                <c:pt idx="145">
                  <c:v>37653</c:v>
                </c:pt>
                <c:pt idx="146">
                  <c:v>37681</c:v>
                </c:pt>
                <c:pt idx="147">
                  <c:v>37712</c:v>
                </c:pt>
                <c:pt idx="148">
                  <c:v>37742</c:v>
                </c:pt>
                <c:pt idx="149">
                  <c:v>37773</c:v>
                </c:pt>
                <c:pt idx="150">
                  <c:v>37803</c:v>
                </c:pt>
                <c:pt idx="151">
                  <c:v>37834</c:v>
                </c:pt>
                <c:pt idx="152">
                  <c:v>37865</c:v>
                </c:pt>
                <c:pt idx="153">
                  <c:v>37895</c:v>
                </c:pt>
                <c:pt idx="154">
                  <c:v>37926</c:v>
                </c:pt>
                <c:pt idx="155">
                  <c:v>37956</c:v>
                </c:pt>
                <c:pt idx="156">
                  <c:v>37987</c:v>
                </c:pt>
                <c:pt idx="157">
                  <c:v>38018</c:v>
                </c:pt>
                <c:pt idx="158">
                  <c:v>38047</c:v>
                </c:pt>
                <c:pt idx="159">
                  <c:v>38078</c:v>
                </c:pt>
                <c:pt idx="160">
                  <c:v>38108</c:v>
                </c:pt>
                <c:pt idx="161">
                  <c:v>38139</c:v>
                </c:pt>
                <c:pt idx="162">
                  <c:v>38169</c:v>
                </c:pt>
                <c:pt idx="163">
                  <c:v>38200</c:v>
                </c:pt>
                <c:pt idx="164">
                  <c:v>38231</c:v>
                </c:pt>
                <c:pt idx="165">
                  <c:v>38261</c:v>
                </c:pt>
                <c:pt idx="166">
                  <c:v>38292</c:v>
                </c:pt>
                <c:pt idx="167">
                  <c:v>38322</c:v>
                </c:pt>
                <c:pt idx="168">
                  <c:v>38353</c:v>
                </c:pt>
                <c:pt idx="169">
                  <c:v>38384</c:v>
                </c:pt>
                <c:pt idx="170">
                  <c:v>38412</c:v>
                </c:pt>
                <c:pt idx="171">
                  <c:v>38443</c:v>
                </c:pt>
                <c:pt idx="172">
                  <c:v>38473</c:v>
                </c:pt>
                <c:pt idx="173">
                  <c:v>38504</c:v>
                </c:pt>
                <c:pt idx="174">
                  <c:v>38534</c:v>
                </c:pt>
                <c:pt idx="175">
                  <c:v>38565</c:v>
                </c:pt>
                <c:pt idx="176">
                  <c:v>38596</c:v>
                </c:pt>
                <c:pt idx="177">
                  <c:v>38626</c:v>
                </c:pt>
                <c:pt idx="178">
                  <c:v>38657</c:v>
                </c:pt>
                <c:pt idx="179">
                  <c:v>38687</c:v>
                </c:pt>
                <c:pt idx="180">
                  <c:v>38718</c:v>
                </c:pt>
                <c:pt idx="181">
                  <c:v>38749</c:v>
                </c:pt>
                <c:pt idx="182">
                  <c:v>38777</c:v>
                </c:pt>
                <c:pt idx="183">
                  <c:v>38808</c:v>
                </c:pt>
                <c:pt idx="184">
                  <c:v>38838</c:v>
                </c:pt>
                <c:pt idx="185">
                  <c:v>38869</c:v>
                </c:pt>
                <c:pt idx="186">
                  <c:v>38899</c:v>
                </c:pt>
                <c:pt idx="187">
                  <c:v>38930</c:v>
                </c:pt>
                <c:pt idx="188">
                  <c:v>38961</c:v>
                </c:pt>
                <c:pt idx="189">
                  <c:v>38991</c:v>
                </c:pt>
                <c:pt idx="190">
                  <c:v>39022</c:v>
                </c:pt>
                <c:pt idx="191">
                  <c:v>39052</c:v>
                </c:pt>
                <c:pt idx="192">
                  <c:v>39083</c:v>
                </c:pt>
                <c:pt idx="193">
                  <c:v>39114</c:v>
                </c:pt>
                <c:pt idx="194">
                  <c:v>39142</c:v>
                </c:pt>
                <c:pt idx="195">
                  <c:v>39173</c:v>
                </c:pt>
                <c:pt idx="196">
                  <c:v>39203</c:v>
                </c:pt>
                <c:pt idx="197">
                  <c:v>39234</c:v>
                </c:pt>
                <c:pt idx="198">
                  <c:v>39264</c:v>
                </c:pt>
                <c:pt idx="199">
                  <c:v>39295</c:v>
                </c:pt>
                <c:pt idx="200">
                  <c:v>39326</c:v>
                </c:pt>
                <c:pt idx="201">
                  <c:v>39356</c:v>
                </c:pt>
                <c:pt idx="202">
                  <c:v>39387</c:v>
                </c:pt>
                <c:pt idx="203">
                  <c:v>39417</c:v>
                </c:pt>
                <c:pt idx="204">
                  <c:v>39448</c:v>
                </c:pt>
                <c:pt idx="205">
                  <c:v>39479</c:v>
                </c:pt>
                <c:pt idx="206">
                  <c:v>39508</c:v>
                </c:pt>
                <c:pt idx="207">
                  <c:v>39539</c:v>
                </c:pt>
                <c:pt idx="208">
                  <c:v>39569</c:v>
                </c:pt>
                <c:pt idx="209">
                  <c:v>39600</c:v>
                </c:pt>
                <c:pt idx="210">
                  <c:v>39630</c:v>
                </c:pt>
                <c:pt idx="211">
                  <c:v>39661</c:v>
                </c:pt>
                <c:pt idx="212">
                  <c:v>39692</c:v>
                </c:pt>
                <c:pt idx="213">
                  <c:v>39722</c:v>
                </c:pt>
                <c:pt idx="214">
                  <c:v>39753</c:v>
                </c:pt>
                <c:pt idx="215">
                  <c:v>39783</c:v>
                </c:pt>
                <c:pt idx="216">
                  <c:v>39814</c:v>
                </c:pt>
                <c:pt idx="217">
                  <c:v>39845</c:v>
                </c:pt>
                <c:pt idx="218">
                  <c:v>39873</c:v>
                </c:pt>
                <c:pt idx="219">
                  <c:v>39904</c:v>
                </c:pt>
                <c:pt idx="220">
                  <c:v>39934</c:v>
                </c:pt>
                <c:pt idx="221">
                  <c:v>39965</c:v>
                </c:pt>
                <c:pt idx="222">
                  <c:v>39995</c:v>
                </c:pt>
                <c:pt idx="223">
                  <c:v>40026</c:v>
                </c:pt>
                <c:pt idx="224">
                  <c:v>40057</c:v>
                </c:pt>
                <c:pt idx="225">
                  <c:v>40087</c:v>
                </c:pt>
                <c:pt idx="226">
                  <c:v>40118</c:v>
                </c:pt>
                <c:pt idx="227">
                  <c:v>40148</c:v>
                </c:pt>
                <c:pt idx="228">
                  <c:v>40179</c:v>
                </c:pt>
                <c:pt idx="229">
                  <c:v>40210</c:v>
                </c:pt>
                <c:pt idx="230">
                  <c:v>40238</c:v>
                </c:pt>
                <c:pt idx="231">
                  <c:v>40269</c:v>
                </c:pt>
                <c:pt idx="232">
                  <c:v>40299</c:v>
                </c:pt>
                <c:pt idx="233">
                  <c:v>40330</c:v>
                </c:pt>
                <c:pt idx="234">
                  <c:v>40360</c:v>
                </c:pt>
                <c:pt idx="235">
                  <c:v>40391</c:v>
                </c:pt>
                <c:pt idx="236">
                  <c:v>40422</c:v>
                </c:pt>
                <c:pt idx="237">
                  <c:v>40452</c:v>
                </c:pt>
                <c:pt idx="238">
                  <c:v>40483</c:v>
                </c:pt>
                <c:pt idx="239">
                  <c:v>40513</c:v>
                </c:pt>
                <c:pt idx="240">
                  <c:v>40544</c:v>
                </c:pt>
                <c:pt idx="241">
                  <c:v>40575</c:v>
                </c:pt>
                <c:pt idx="242">
                  <c:v>40603</c:v>
                </c:pt>
                <c:pt idx="243">
                  <c:v>40634</c:v>
                </c:pt>
                <c:pt idx="244">
                  <c:v>40664</c:v>
                </c:pt>
                <c:pt idx="245">
                  <c:v>40695</c:v>
                </c:pt>
                <c:pt idx="246">
                  <c:v>40725</c:v>
                </c:pt>
                <c:pt idx="247">
                  <c:v>40756</c:v>
                </c:pt>
                <c:pt idx="248">
                  <c:v>40787</c:v>
                </c:pt>
                <c:pt idx="249">
                  <c:v>40817</c:v>
                </c:pt>
                <c:pt idx="250">
                  <c:v>40848</c:v>
                </c:pt>
                <c:pt idx="251">
                  <c:v>40878</c:v>
                </c:pt>
                <c:pt idx="252">
                  <c:v>40909</c:v>
                </c:pt>
                <c:pt idx="253">
                  <c:v>40940</c:v>
                </c:pt>
                <c:pt idx="254">
                  <c:v>40969</c:v>
                </c:pt>
                <c:pt idx="255">
                  <c:v>41000</c:v>
                </c:pt>
                <c:pt idx="256">
                  <c:v>41030</c:v>
                </c:pt>
                <c:pt idx="257">
                  <c:v>41061</c:v>
                </c:pt>
                <c:pt idx="258">
                  <c:v>41091</c:v>
                </c:pt>
                <c:pt idx="259">
                  <c:v>41122</c:v>
                </c:pt>
                <c:pt idx="260">
                  <c:v>41153</c:v>
                </c:pt>
                <c:pt idx="261">
                  <c:v>41183</c:v>
                </c:pt>
                <c:pt idx="262">
                  <c:v>41214</c:v>
                </c:pt>
                <c:pt idx="263">
                  <c:v>41244</c:v>
                </c:pt>
                <c:pt idx="264">
                  <c:v>41275</c:v>
                </c:pt>
                <c:pt idx="265">
                  <c:v>41306</c:v>
                </c:pt>
                <c:pt idx="266">
                  <c:v>41334</c:v>
                </c:pt>
                <c:pt idx="267">
                  <c:v>41365</c:v>
                </c:pt>
                <c:pt idx="268">
                  <c:v>41395</c:v>
                </c:pt>
                <c:pt idx="269">
                  <c:v>41426</c:v>
                </c:pt>
                <c:pt idx="270">
                  <c:v>41456</c:v>
                </c:pt>
                <c:pt idx="271">
                  <c:v>41487</c:v>
                </c:pt>
                <c:pt idx="272">
                  <c:v>41518</c:v>
                </c:pt>
                <c:pt idx="273">
                  <c:v>41548</c:v>
                </c:pt>
                <c:pt idx="274">
                  <c:v>41579</c:v>
                </c:pt>
                <c:pt idx="275">
                  <c:v>41609</c:v>
                </c:pt>
                <c:pt idx="276">
                  <c:v>41640</c:v>
                </c:pt>
                <c:pt idx="277">
                  <c:v>41671</c:v>
                </c:pt>
                <c:pt idx="278">
                  <c:v>41699</c:v>
                </c:pt>
                <c:pt idx="279">
                  <c:v>41730</c:v>
                </c:pt>
                <c:pt idx="280">
                  <c:v>41760</c:v>
                </c:pt>
                <c:pt idx="281">
                  <c:v>41791</c:v>
                </c:pt>
                <c:pt idx="282">
                  <c:v>41821</c:v>
                </c:pt>
                <c:pt idx="283">
                  <c:v>41852</c:v>
                </c:pt>
                <c:pt idx="284">
                  <c:v>41883</c:v>
                </c:pt>
                <c:pt idx="285">
                  <c:v>41913</c:v>
                </c:pt>
                <c:pt idx="286">
                  <c:v>41944</c:v>
                </c:pt>
                <c:pt idx="287">
                  <c:v>41974</c:v>
                </c:pt>
                <c:pt idx="288">
                  <c:v>42005</c:v>
                </c:pt>
                <c:pt idx="289">
                  <c:v>42036</c:v>
                </c:pt>
                <c:pt idx="290">
                  <c:v>42064</c:v>
                </c:pt>
                <c:pt idx="291">
                  <c:v>42095</c:v>
                </c:pt>
                <c:pt idx="292">
                  <c:v>42125</c:v>
                </c:pt>
                <c:pt idx="293">
                  <c:v>42156</c:v>
                </c:pt>
                <c:pt idx="294">
                  <c:v>42186</c:v>
                </c:pt>
                <c:pt idx="295">
                  <c:v>42217</c:v>
                </c:pt>
                <c:pt idx="296">
                  <c:v>42248</c:v>
                </c:pt>
                <c:pt idx="297">
                  <c:v>42278</c:v>
                </c:pt>
                <c:pt idx="298">
                  <c:v>42309</c:v>
                </c:pt>
                <c:pt idx="299">
                  <c:v>42339</c:v>
                </c:pt>
                <c:pt idx="300">
                  <c:v>42370</c:v>
                </c:pt>
                <c:pt idx="301">
                  <c:v>42401</c:v>
                </c:pt>
                <c:pt idx="302">
                  <c:v>42430</c:v>
                </c:pt>
                <c:pt idx="303">
                  <c:v>42461</c:v>
                </c:pt>
                <c:pt idx="304">
                  <c:v>42491</c:v>
                </c:pt>
                <c:pt idx="305">
                  <c:v>42522</c:v>
                </c:pt>
                <c:pt idx="306">
                  <c:v>42552</c:v>
                </c:pt>
                <c:pt idx="307">
                  <c:v>42583</c:v>
                </c:pt>
                <c:pt idx="308">
                  <c:v>42614</c:v>
                </c:pt>
                <c:pt idx="309">
                  <c:v>42644</c:v>
                </c:pt>
                <c:pt idx="310">
                  <c:v>42675</c:v>
                </c:pt>
                <c:pt idx="311">
                  <c:v>42705</c:v>
                </c:pt>
                <c:pt idx="312">
                  <c:v>42736</c:v>
                </c:pt>
                <c:pt idx="313">
                  <c:v>42767</c:v>
                </c:pt>
                <c:pt idx="314">
                  <c:v>42795</c:v>
                </c:pt>
                <c:pt idx="315">
                  <c:v>42826</c:v>
                </c:pt>
                <c:pt idx="316">
                  <c:v>42856</c:v>
                </c:pt>
                <c:pt idx="317">
                  <c:v>42887</c:v>
                </c:pt>
                <c:pt idx="318">
                  <c:v>42917</c:v>
                </c:pt>
                <c:pt idx="319">
                  <c:v>42948</c:v>
                </c:pt>
                <c:pt idx="320">
                  <c:v>42979</c:v>
                </c:pt>
                <c:pt idx="321">
                  <c:v>43009</c:v>
                </c:pt>
                <c:pt idx="322">
                  <c:v>43040</c:v>
                </c:pt>
                <c:pt idx="323">
                  <c:v>43070</c:v>
                </c:pt>
                <c:pt idx="324">
                  <c:v>43101</c:v>
                </c:pt>
                <c:pt idx="325">
                  <c:v>43132</c:v>
                </c:pt>
                <c:pt idx="326">
                  <c:v>43160</c:v>
                </c:pt>
                <c:pt idx="327">
                  <c:v>43191</c:v>
                </c:pt>
                <c:pt idx="328">
                  <c:v>43221</c:v>
                </c:pt>
                <c:pt idx="329">
                  <c:v>43252</c:v>
                </c:pt>
                <c:pt idx="330">
                  <c:v>43282</c:v>
                </c:pt>
                <c:pt idx="331">
                  <c:v>43313</c:v>
                </c:pt>
                <c:pt idx="332">
                  <c:v>43344</c:v>
                </c:pt>
                <c:pt idx="333">
                  <c:v>43374</c:v>
                </c:pt>
                <c:pt idx="334">
                  <c:v>43405</c:v>
                </c:pt>
                <c:pt idx="335">
                  <c:v>43435</c:v>
                </c:pt>
                <c:pt idx="336">
                  <c:v>43466</c:v>
                </c:pt>
                <c:pt idx="337">
                  <c:v>43497</c:v>
                </c:pt>
                <c:pt idx="338">
                  <c:v>43525</c:v>
                </c:pt>
                <c:pt idx="339">
                  <c:v>43556</c:v>
                </c:pt>
                <c:pt idx="340">
                  <c:v>43586</c:v>
                </c:pt>
                <c:pt idx="341">
                  <c:v>43617</c:v>
                </c:pt>
                <c:pt idx="342">
                  <c:v>43647</c:v>
                </c:pt>
                <c:pt idx="343">
                  <c:v>43678</c:v>
                </c:pt>
                <c:pt idx="344">
                  <c:v>43709</c:v>
                </c:pt>
                <c:pt idx="345">
                  <c:v>43739</c:v>
                </c:pt>
                <c:pt idx="346">
                  <c:v>43770</c:v>
                </c:pt>
                <c:pt idx="347">
                  <c:v>43800</c:v>
                </c:pt>
                <c:pt idx="348">
                  <c:v>43831</c:v>
                </c:pt>
                <c:pt idx="349">
                  <c:v>43862</c:v>
                </c:pt>
                <c:pt idx="350">
                  <c:v>43891</c:v>
                </c:pt>
                <c:pt idx="351">
                  <c:v>43922</c:v>
                </c:pt>
                <c:pt idx="352">
                  <c:v>43952</c:v>
                </c:pt>
                <c:pt idx="353">
                  <c:v>43983</c:v>
                </c:pt>
                <c:pt idx="354">
                  <c:v>44013</c:v>
                </c:pt>
                <c:pt idx="355">
                  <c:v>44044</c:v>
                </c:pt>
                <c:pt idx="356">
                  <c:v>44075</c:v>
                </c:pt>
                <c:pt idx="357">
                  <c:v>44105</c:v>
                </c:pt>
                <c:pt idx="358">
                  <c:v>44136</c:v>
                </c:pt>
                <c:pt idx="359">
                  <c:v>44166</c:v>
                </c:pt>
                <c:pt idx="360">
                  <c:v>44197</c:v>
                </c:pt>
                <c:pt idx="361">
                  <c:v>44228</c:v>
                </c:pt>
                <c:pt idx="362">
                  <c:v>44256</c:v>
                </c:pt>
                <c:pt idx="363">
                  <c:v>44287</c:v>
                </c:pt>
                <c:pt idx="364">
                  <c:v>44317</c:v>
                </c:pt>
                <c:pt idx="365">
                  <c:v>44348</c:v>
                </c:pt>
                <c:pt idx="366">
                  <c:v>44378</c:v>
                </c:pt>
                <c:pt idx="367">
                  <c:v>44409</c:v>
                </c:pt>
                <c:pt idx="368">
                  <c:v>44440</c:v>
                </c:pt>
                <c:pt idx="369">
                  <c:v>44470</c:v>
                </c:pt>
                <c:pt idx="370">
                  <c:v>44501</c:v>
                </c:pt>
                <c:pt idx="371">
                  <c:v>44531</c:v>
                </c:pt>
                <c:pt idx="372">
                  <c:v>44562</c:v>
                </c:pt>
                <c:pt idx="373">
                  <c:v>44593</c:v>
                </c:pt>
                <c:pt idx="374">
                  <c:v>44621</c:v>
                </c:pt>
                <c:pt idx="375">
                  <c:v>44652</c:v>
                </c:pt>
                <c:pt idx="376">
                  <c:v>44682</c:v>
                </c:pt>
                <c:pt idx="377">
                  <c:v>44713</c:v>
                </c:pt>
                <c:pt idx="378">
                  <c:v>44743</c:v>
                </c:pt>
                <c:pt idx="379">
                  <c:v>44774</c:v>
                </c:pt>
                <c:pt idx="380">
                  <c:v>44805</c:v>
                </c:pt>
                <c:pt idx="381">
                  <c:v>44835</c:v>
                </c:pt>
                <c:pt idx="382">
                  <c:v>44866</c:v>
                </c:pt>
                <c:pt idx="383">
                  <c:v>44896</c:v>
                </c:pt>
                <c:pt idx="384">
                  <c:v>44927</c:v>
                </c:pt>
                <c:pt idx="385">
                  <c:v>44958</c:v>
                </c:pt>
                <c:pt idx="386">
                  <c:v>44986</c:v>
                </c:pt>
                <c:pt idx="387">
                  <c:v>45017</c:v>
                </c:pt>
                <c:pt idx="388">
                  <c:v>45047</c:v>
                </c:pt>
                <c:pt idx="389">
                  <c:v>45078</c:v>
                </c:pt>
                <c:pt idx="390">
                  <c:v>45108</c:v>
                </c:pt>
                <c:pt idx="391">
                  <c:v>45139</c:v>
                </c:pt>
                <c:pt idx="392">
                  <c:v>45170</c:v>
                </c:pt>
                <c:pt idx="393">
                  <c:v>45200</c:v>
                </c:pt>
                <c:pt idx="394">
                  <c:v>45231</c:v>
                </c:pt>
                <c:pt idx="395">
                  <c:v>45261</c:v>
                </c:pt>
                <c:pt idx="396">
                  <c:v>45292</c:v>
                </c:pt>
                <c:pt idx="397">
                  <c:v>45323</c:v>
                </c:pt>
                <c:pt idx="398">
                  <c:v>45352</c:v>
                </c:pt>
                <c:pt idx="399">
                  <c:v>45383</c:v>
                </c:pt>
                <c:pt idx="400">
                  <c:v>45413</c:v>
                </c:pt>
                <c:pt idx="401">
                  <c:v>45444</c:v>
                </c:pt>
                <c:pt idx="402">
                  <c:v>45474</c:v>
                </c:pt>
                <c:pt idx="403">
                  <c:v>45505</c:v>
                </c:pt>
                <c:pt idx="404">
                  <c:v>45536</c:v>
                </c:pt>
                <c:pt idx="405">
                  <c:v>45566</c:v>
                </c:pt>
                <c:pt idx="406">
                  <c:v>45597</c:v>
                </c:pt>
                <c:pt idx="407">
                  <c:v>45627</c:v>
                </c:pt>
                <c:pt idx="408">
                  <c:v>45658</c:v>
                </c:pt>
                <c:pt idx="409">
                  <c:v>45689</c:v>
                </c:pt>
                <c:pt idx="410">
                  <c:v>45717</c:v>
                </c:pt>
                <c:pt idx="411">
                  <c:v>45748</c:v>
                </c:pt>
                <c:pt idx="412">
                  <c:v>45778</c:v>
                </c:pt>
                <c:pt idx="413">
                  <c:v>45809</c:v>
                </c:pt>
                <c:pt idx="414">
                  <c:v>45839</c:v>
                </c:pt>
                <c:pt idx="415">
                  <c:v>45870</c:v>
                </c:pt>
                <c:pt idx="416">
                  <c:v>45901</c:v>
                </c:pt>
                <c:pt idx="417">
                  <c:v>45931</c:v>
                </c:pt>
                <c:pt idx="418">
                  <c:v>45962</c:v>
                </c:pt>
                <c:pt idx="419">
                  <c:v>45992</c:v>
                </c:pt>
                <c:pt idx="420">
                  <c:v>46023</c:v>
                </c:pt>
                <c:pt idx="421">
                  <c:v>46054</c:v>
                </c:pt>
                <c:pt idx="422">
                  <c:v>46082</c:v>
                </c:pt>
                <c:pt idx="423">
                  <c:v>46113</c:v>
                </c:pt>
                <c:pt idx="424">
                  <c:v>46143</c:v>
                </c:pt>
                <c:pt idx="425">
                  <c:v>46174</c:v>
                </c:pt>
                <c:pt idx="426">
                  <c:v>46204</c:v>
                </c:pt>
                <c:pt idx="427">
                  <c:v>46235</c:v>
                </c:pt>
                <c:pt idx="428">
                  <c:v>46266</c:v>
                </c:pt>
                <c:pt idx="429">
                  <c:v>46296</c:v>
                </c:pt>
                <c:pt idx="430">
                  <c:v>46327</c:v>
                </c:pt>
                <c:pt idx="431">
                  <c:v>46357</c:v>
                </c:pt>
                <c:pt idx="432">
                  <c:v>46388</c:v>
                </c:pt>
              </c:numCache>
            </c:numRef>
          </c:cat>
          <c:val>
            <c:numRef>
              <c:f>'Input Data'!$D$2:$D$434</c:f>
              <c:numCache>
                <c:formatCode>#,##0</c:formatCode>
                <c:ptCount val="433"/>
                <c:pt idx="0">
                  <c:v>962000</c:v>
                </c:pt>
                <c:pt idx="1">
                  <c:v>981000</c:v>
                </c:pt>
                <c:pt idx="2">
                  <c:v>993000</c:v>
                </c:pt>
                <c:pt idx="3">
                  <c:v>1003000</c:v>
                </c:pt>
                <c:pt idx="4">
                  <c:v>992000</c:v>
                </c:pt>
                <c:pt idx="5">
                  <c:v>1005000</c:v>
                </c:pt>
                <c:pt idx="6">
                  <c:v>992000</c:v>
                </c:pt>
                <c:pt idx="7">
                  <c:v>1015000</c:v>
                </c:pt>
                <c:pt idx="8">
                  <c:v>1011000</c:v>
                </c:pt>
                <c:pt idx="9">
                  <c:v>1025000</c:v>
                </c:pt>
                <c:pt idx="10">
                  <c:v>1020000</c:v>
                </c:pt>
                <c:pt idx="11">
                  <c:v>1014000</c:v>
                </c:pt>
                <c:pt idx="12">
                  <c:v>998000</c:v>
                </c:pt>
                <c:pt idx="13">
                  <c:v>1009000</c:v>
                </c:pt>
                <c:pt idx="14">
                  <c:v>1021000</c:v>
                </c:pt>
                <c:pt idx="15">
                  <c:v>1049000</c:v>
                </c:pt>
                <c:pt idx="16">
                  <c:v>1029000</c:v>
                </c:pt>
                <c:pt idx="17">
                  <c:v>1014000</c:v>
                </c:pt>
                <c:pt idx="18">
                  <c:v>1023000</c:v>
                </c:pt>
                <c:pt idx="19">
                  <c:v>1023000</c:v>
                </c:pt>
                <c:pt idx="20">
                  <c:v>1022000</c:v>
                </c:pt>
                <c:pt idx="21">
                  <c:v>1016000</c:v>
                </c:pt>
                <c:pt idx="22">
                  <c:v>1007000</c:v>
                </c:pt>
                <c:pt idx="23">
                  <c:v>1001000</c:v>
                </c:pt>
                <c:pt idx="24">
                  <c:v>989000</c:v>
                </c:pt>
                <c:pt idx="25">
                  <c:v>1008000</c:v>
                </c:pt>
                <c:pt idx="26">
                  <c:v>1025000</c:v>
                </c:pt>
                <c:pt idx="27">
                  <c:v>1051000</c:v>
                </c:pt>
                <c:pt idx="28">
                  <c:v>1058000</c:v>
                </c:pt>
                <c:pt idx="29">
                  <c:v>1064000</c:v>
                </c:pt>
                <c:pt idx="30">
                  <c:v>1049000</c:v>
                </c:pt>
                <c:pt idx="31">
                  <c:v>1052000</c:v>
                </c:pt>
                <c:pt idx="32">
                  <c:v>1049000</c:v>
                </c:pt>
                <c:pt idx="33">
                  <c:v>1024000</c:v>
                </c:pt>
                <c:pt idx="34">
                  <c:v>1009000</c:v>
                </c:pt>
                <c:pt idx="35">
                  <c:v>1011000</c:v>
                </c:pt>
                <c:pt idx="36">
                  <c:v>1001000</c:v>
                </c:pt>
                <c:pt idx="37">
                  <c:v>961000</c:v>
                </c:pt>
                <c:pt idx="38">
                  <c:v>1041000</c:v>
                </c:pt>
                <c:pt idx="39">
                  <c:v>1046000</c:v>
                </c:pt>
                <c:pt idx="40">
                  <c:v>1032000</c:v>
                </c:pt>
                <c:pt idx="41">
                  <c:v>1052000</c:v>
                </c:pt>
                <c:pt idx="42">
                  <c:v>1031000</c:v>
                </c:pt>
                <c:pt idx="43">
                  <c:v>1034000</c:v>
                </c:pt>
                <c:pt idx="44">
                  <c:v>1025000</c:v>
                </c:pt>
                <c:pt idx="45">
                  <c:v>1019000</c:v>
                </c:pt>
                <c:pt idx="46">
                  <c:v>1022000</c:v>
                </c:pt>
                <c:pt idx="47">
                  <c:v>1010000</c:v>
                </c:pt>
                <c:pt idx="48">
                  <c:v>1009000</c:v>
                </c:pt>
                <c:pt idx="49">
                  <c:v>1024000</c:v>
                </c:pt>
                <c:pt idx="50">
                  <c:v>1039000</c:v>
                </c:pt>
                <c:pt idx="51">
                  <c:v>1040000</c:v>
                </c:pt>
                <c:pt idx="52">
                  <c:v>1024000</c:v>
                </c:pt>
                <c:pt idx="53">
                  <c:v>1019000</c:v>
                </c:pt>
                <c:pt idx="54">
                  <c:v>1009000</c:v>
                </c:pt>
                <c:pt idx="55">
                  <c:v>1015000</c:v>
                </c:pt>
                <c:pt idx="56">
                  <c:v>1002000</c:v>
                </c:pt>
                <c:pt idx="57">
                  <c:v>1010000</c:v>
                </c:pt>
                <c:pt idx="58">
                  <c:v>1012000</c:v>
                </c:pt>
                <c:pt idx="59">
                  <c:v>1006000</c:v>
                </c:pt>
                <c:pt idx="60">
                  <c:v>997000</c:v>
                </c:pt>
                <c:pt idx="61">
                  <c:v>1007000</c:v>
                </c:pt>
                <c:pt idx="62">
                  <c:v>1049000</c:v>
                </c:pt>
                <c:pt idx="63">
                  <c:v>1063000</c:v>
                </c:pt>
                <c:pt idx="64">
                  <c:v>1081000</c:v>
                </c:pt>
                <c:pt idx="65">
                  <c:v>1080000</c:v>
                </c:pt>
                <c:pt idx="66">
                  <c:v>1079000</c:v>
                </c:pt>
                <c:pt idx="67">
                  <c:v>1093000</c:v>
                </c:pt>
                <c:pt idx="68">
                  <c:v>1098000</c:v>
                </c:pt>
                <c:pt idx="69">
                  <c:v>1099000</c:v>
                </c:pt>
                <c:pt idx="70">
                  <c:v>1076000</c:v>
                </c:pt>
                <c:pt idx="71">
                  <c:v>1096000</c:v>
                </c:pt>
                <c:pt idx="72">
                  <c:v>1094000</c:v>
                </c:pt>
                <c:pt idx="73">
                  <c:v>1104000</c:v>
                </c:pt>
                <c:pt idx="74">
                  <c:v>1105000</c:v>
                </c:pt>
                <c:pt idx="75">
                  <c:v>1126000</c:v>
                </c:pt>
                <c:pt idx="76">
                  <c:v>1118000</c:v>
                </c:pt>
                <c:pt idx="77">
                  <c:v>1114000</c:v>
                </c:pt>
                <c:pt idx="78">
                  <c:v>1117000</c:v>
                </c:pt>
                <c:pt idx="79">
                  <c:v>1132000</c:v>
                </c:pt>
                <c:pt idx="80">
                  <c:v>1134000</c:v>
                </c:pt>
                <c:pt idx="81">
                  <c:v>1128000</c:v>
                </c:pt>
                <c:pt idx="82">
                  <c:v>1118000</c:v>
                </c:pt>
                <c:pt idx="83">
                  <c:v>1098000</c:v>
                </c:pt>
                <c:pt idx="84">
                  <c:v>1089547.2258064516</c:v>
                </c:pt>
                <c:pt idx="85">
                  <c:v>1092878.857142857</c:v>
                </c:pt>
                <c:pt idx="86">
                  <c:v>1086058.2903225806</c:v>
                </c:pt>
                <c:pt idx="87">
                  <c:v>1058740.0666666667</c:v>
                </c:pt>
                <c:pt idx="88">
                  <c:v>1048381.5483870967</c:v>
                </c:pt>
                <c:pt idx="89">
                  <c:v>1026390.1666666666</c:v>
                </c:pt>
                <c:pt idx="90">
                  <c:v>1005394.9354838709</c:v>
                </c:pt>
                <c:pt idx="91">
                  <c:v>982514.54838709673</c:v>
                </c:pt>
                <c:pt idx="92">
                  <c:v>965526</c:v>
                </c:pt>
                <c:pt idx="93">
                  <c:v>966457.87096774194</c:v>
                </c:pt>
                <c:pt idx="94">
                  <c:v>936797.83333333337</c:v>
                </c:pt>
                <c:pt idx="95">
                  <c:v>897921.12903225806</c:v>
                </c:pt>
                <c:pt idx="96">
                  <c:v>877437.93548387091</c:v>
                </c:pt>
                <c:pt idx="97">
                  <c:v>885067.92857142852</c:v>
                </c:pt>
                <c:pt idx="98">
                  <c:v>867384.48387096776</c:v>
                </c:pt>
                <c:pt idx="99">
                  <c:v>863192.16666666663</c:v>
                </c:pt>
                <c:pt idx="100">
                  <c:v>875540.32258064521</c:v>
                </c:pt>
                <c:pt idx="101">
                  <c:v>888111.5</c:v>
                </c:pt>
                <c:pt idx="102">
                  <c:v>889784.74193548388</c:v>
                </c:pt>
                <c:pt idx="103">
                  <c:v>907885.61290322582</c:v>
                </c:pt>
                <c:pt idx="104">
                  <c:v>923424.6333333333</c:v>
                </c:pt>
                <c:pt idx="105">
                  <c:v>925842.87096774194</c:v>
                </c:pt>
                <c:pt idx="106">
                  <c:v>916641.33333333337</c:v>
                </c:pt>
                <c:pt idx="107">
                  <c:v>923296.16129032255</c:v>
                </c:pt>
                <c:pt idx="108">
                  <c:v>929668.61290322582</c:v>
                </c:pt>
                <c:pt idx="109">
                  <c:v>953541.62068965519</c:v>
                </c:pt>
                <c:pt idx="110">
                  <c:v>970830.48387096776</c:v>
                </c:pt>
                <c:pt idx="111">
                  <c:v>990153.6</c:v>
                </c:pt>
                <c:pt idx="112">
                  <c:v>964869.87096774194</c:v>
                </c:pt>
                <c:pt idx="113">
                  <c:v>977354.2</c:v>
                </c:pt>
                <c:pt idx="114">
                  <c:v>984456.19354838715</c:v>
                </c:pt>
                <c:pt idx="115">
                  <c:v>990321.80645161285</c:v>
                </c:pt>
                <c:pt idx="116">
                  <c:v>981517.9</c:v>
                </c:pt>
                <c:pt idx="117">
                  <c:v>988676.48387096776</c:v>
                </c:pt>
                <c:pt idx="118">
                  <c:v>979606.23333333328</c:v>
                </c:pt>
                <c:pt idx="119">
                  <c:v>675638.3548387097</c:v>
                </c:pt>
                <c:pt idx="120">
                  <c:v>918948.74193548388</c:v>
                </c:pt>
                <c:pt idx="121">
                  <c:v>957277.21428571432</c:v>
                </c:pt>
                <c:pt idx="122">
                  <c:v>951643.22580645164</c:v>
                </c:pt>
                <c:pt idx="123">
                  <c:v>971991.83333333337</c:v>
                </c:pt>
                <c:pt idx="124">
                  <c:v>976632.06451612909</c:v>
                </c:pt>
                <c:pt idx="125">
                  <c:v>973808.8666666667</c:v>
                </c:pt>
                <c:pt idx="126">
                  <c:v>987809.54838709673</c:v>
                </c:pt>
                <c:pt idx="127">
                  <c:v>994568.09677419357</c:v>
                </c:pt>
                <c:pt idx="128">
                  <c:v>981455.43333333335</c:v>
                </c:pt>
                <c:pt idx="129">
                  <c:v>1002234.7419354839</c:v>
                </c:pt>
                <c:pt idx="130">
                  <c:v>994590</c:v>
                </c:pt>
                <c:pt idx="131">
                  <c:v>991781.83870967745</c:v>
                </c:pt>
                <c:pt idx="132">
                  <c:v>976998.83870967745</c:v>
                </c:pt>
                <c:pt idx="133">
                  <c:v>981747.17857142852</c:v>
                </c:pt>
                <c:pt idx="134">
                  <c:v>985728.61290322582</c:v>
                </c:pt>
                <c:pt idx="135">
                  <c:v>977818.23333333328</c:v>
                </c:pt>
                <c:pt idx="136">
                  <c:v>975123.67741935479</c:v>
                </c:pt>
                <c:pt idx="137">
                  <c:v>969196.66666666663</c:v>
                </c:pt>
                <c:pt idx="138">
                  <c:v>969979.3548387097</c:v>
                </c:pt>
                <c:pt idx="139">
                  <c:v>964419.48387096776</c:v>
                </c:pt>
                <c:pt idx="140">
                  <c:v>975741.8666666667</c:v>
                </c:pt>
                <c:pt idx="141">
                  <c:v>974829.16129032255</c:v>
                </c:pt>
                <c:pt idx="142">
                  <c:v>970570.1</c:v>
                </c:pt>
                <c:pt idx="143">
                  <c:v>961503.06451612909</c:v>
                </c:pt>
                <c:pt idx="144">
                  <c:v>956982.25806451612</c:v>
                </c:pt>
                <c:pt idx="145">
                  <c:v>971678.5</c:v>
                </c:pt>
                <c:pt idx="146">
                  <c:v>970919.12903225806</c:v>
                </c:pt>
                <c:pt idx="147">
                  <c:v>961109.66666666663</c:v>
                </c:pt>
                <c:pt idx="148">
                  <c:v>956342.12903225806</c:v>
                </c:pt>
                <c:pt idx="149">
                  <c:v>945346.9</c:v>
                </c:pt>
                <c:pt idx="150">
                  <c:v>941987.61290322582</c:v>
                </c:pt>
                <c:pt idx="151">
                  <c:v>935897.41935483867</c:v>
                </c:pt>
                <c:pt idx="152">
                  <c:v>945013.73333333328</c:v>
                </c:pt>
                <c:pt idx="153">
                  <c:v>941864.32258064521</c:v>
                </c:pt>
                <c:pt idx="154">
                  <c:v>937427.6333333333</c:v>
                </c:pt>
                <c:pt idx="155">
                  <c:v>922033.12903225806</c:v>
                </c:pt>
                <c:pt idx="156">
                  <c:v>925772.29032258061</c:v>
                </c:pt>
                <c:pt idx="157">
                  <c:v>939929.62068965519</c:v>
                </c:pt>
                <c:pt idx="158">
                  <c:v>933672.83870967745</c:v>
                </c:pt>
                <c:pt idx="159">
                  <c:v>934343</c:v>
                </c:pt>
                <c:pt idx="160">
                  <c:v>930891.48387096776</c:v>
                </c:pt>
                <c:pt idx="161">
                  <c:v>821380.1333333333</c:v>
                </c:pt>
                <c:pt idx="162">
                  <c:v>928931.6451612903</c:v>
                </c:pt>
                <c:pt idx="163">
                  <c:v>915289.48387096776</c:v>
                </c:pt>
                <c:pt idx="164">
                  <c:v>920912.6</c:v>
                </c:pt>
                <c:pt idx="165">
                  <c:v>932261.58064516133</c:v>
                </c:pt>
                <c:pt idx="166">
                  <c:v>933287.26666666672</c:v>
                </c:pt>
                <c:pt idx="167">
                  <c:v>912860.3548387097</c:v>
                </c:pt>
                <c:pt idx="168">
                  <c:v>915934.6451612903</c:v>
                </c:pt>
                <c:pt idx="169">
                  <c:v>926153.25</c:v>
                </c:pt>
                <c:pt idx="170">
                  <c:v>940031.6451612903</c:v>
                </c:pt>
                <c:pt idx="171">
                  <c:v>937542.4</c:v>
                </c:pt>
                <c:pt idx="172">
                  <c:v>940372.48387096776</c:v>
                </c:pt>
                <c:pt idx="173">
                  <c:v>943449.7</c:v>
                </c:pt>
                <c:pt idx="174">
                  <c:v>956595.06451612909</c:v>
                </c:pt>
                <c:pt idx="175">
                  <c:v>970626.29032258061</c:v>
                </c:pt>
                <c:pt idx="176">
                  <c:v>901084.73333333328</c:v>
                </c:pt>
                <c:pt idx="177">
                  <c:v>967320.80645161285</c:v>
                </c:pt>
                <c:pt idx="178">
                  <c:v>979031.83333333337</c:v>
                </c:pt>
                <c:pt idx="179">
                  <c:v>979453.6451612903</c:v>
                </c:pt>
                <c:pt idx="180">
                  <c:v>980980.19354838715</c:v>
                </c:pt>
                <c:pt idx="181">
                  <c:v>981758.89285714284</c:v>
                </c:pt>
                <c:pt idx="182">
                  <c:v>983892.22580645164</c:v>
                </c:pt>
                <c:pt idx="183">
                  <c:v>977290.9</c:v>
                </c:pt>
                <c:pt idx="184">
                  <c:v>992253.87096774194</c:v>
                </c:pt>
                <c:pt idx="185">
                  <c:v>984127.23333333328</c:v>
                </c:pt>
                <c:pt idx="186">
                  <c:v>982853.19354838715</c:v>
                </c:pt>
                <c:pt idx="187">
                  <c:v>981252.09677419357</c:v>
                </c:pt>
                <c:pt idx="188">
                  <c:v>986241.9</c:v>
                </c:pt>
                <c:pt idx="189">
                  <c:v>987354</c:v>
                </c:pt>
                <c:pt idx="190">
                  <c:v>982922.1</c:v>
                </c:pt>
                <c:pt idx="191">
                  <c:v>978754.03225806449</c:v>
                </c:pt>
                <c:pt idx="192">
                  <c:v>960652.45161290327</c:v>
                </c:pt>
                <c:pt idx="193">
                  <c:v>950492.42857142852</c:v>
                </c:pt>
                <c:pt idx="194">
                  <c:v>989158.87096774194</c:v>
                </c:pt>
                <c:pt idx="195">
                  <c:v>989960.46666666667</c:v>
                </c:pt>
                <c:pt idx="196">
                  <c:v>998914.87096774194</c:v>
                </c:pt>
                <c:pt idx="197">
                  <c:v>974944.93333333335</c:v>
                </c:pt>
                <c:pt idx="198">
                  <c:v>970800.74193548388</c:v>
                </c:pt>
                <c:pt idx="199">
                  <c:v>981696.09677419357</c:v>
                </c:pt>
                <c:pt idx="200">
                  <c:v>974673.56666666665</c:v>
                </c:pt>
                <c:pt idx="201">
                  <c:v>967177.48387096776</c:v>
                </c:pt>
                <c:pt idx="202">
                  <c:v>984346.1333333333</c:v>
                </c:pt>
                <c:pt idx="203">
                  <c:v>982143.48387096776</c:v>
                </c:pt>
                <c:pt idx="204">
                  <c:v>980410.87096774194</c:v>
                </c:pt>
                <c:pt idx="205">
                  <c:v>993939.13793103443</c:v>
                </c:pt>
                <c:pt idx="206">
                  <c:v>985314.32258064521</c:v>
                </c:pt>
                <c:pt idx="207">
                  <c:v>985774.16666666663</c:v>
                </c:pt>
                <c:pt idx="208">
                  <c:v>1016556.5161290322</c:v>
                </c:pt>
                <c:pt idx="209">
                  <c:v>1014986.9333333333</c:v>
                </c:pt>
                <c:pt idx="210">
                  <c:v>1026115.5161290322</c:v>
                </c:pt>
                <c:pt idx="211">
                  <c:v>1029003.7419354839</c:v>
                </c:pt>
                <c:pt idx="212">
                  <c:v>862443.16666666663</c:v>
                </c:pt>
                <c:pt idx="213">
                  <c:v>1018591.9677419355</c:v>
                </c:pt>
                <c:pt idx="214">
                  <c:v>1028167.3</c:v>
                </c:pt>
                <c:pt idx="215">
                  <c:v>1004206.2903225806</c:v>
                </c:pt>
                <c:pt idx="216">
                  <c:v>989513.54838709673</c:v>
                </c:pt>
                <c:pt idx="217">
                  <c:v>976432.75</c:v>
                </c:pt>
                <c:pt idx="218">
                  <c:v>976687</c:v>
                </c:pt>
                <c:pt idx="219">
                  <c:v>975732.23333333328</c:v>
                </c:pt>
                <c:pt idx="220">
                  <c:v>966132.25806451612</c:v>
                </c:pt>
                <c:pt idx="221">
                  <c:v>967733.7</c:v>
                </c:pt>
                <c:pt idx="222">
                  <c:v>975218.19354838715</c:v>
                </c:pt>
                <c:pt idx="223">
                  <c:v>972733.51612903224</c:v>
                </c:pt>
                <c:pt idx="224">
                  <c:v>969156.03333333333</c:v>
                </c:pt>
                <c:pt idx="225">
                  <c:v>947186.03225806449</c:v>
                </c:pt>
                <c:pt idx="226">
                  <c:v>949327.3666666667</c:v>
                </c:pt>
                <c:pt idx="227">
                  <c:v>958361.51612903224</c:v>
                </c:pt>
                <c:pt idx="228">
                  <c:v>955639.38709677418</c:v>
                </c:pt>
                <c:pt idx="229">
                  <c:v>884319.35714285716</c:v>
                </c:pt>
                <c:pt idx="230">
                  <c:v>970108.80645161285</c:v>
                </c:pt>
                <c:pt idx="231">
                  <c:v>982674.73333333328</c:v>
                </c:pt>
                <c:pt idx="232">
                  <c:v>993209.25806451612</c:v>
                </c:pt>
                <c:pt idx="233">
                  <c:v>993119.73333333328</c:v>
                </c:pt>
                <c:pt idx="234">
                  <c:v>987624.96774193551</c:v>
                </c:pt>
                <c:pt idx="235">
                  <c:v>992896.87096774194</c:v>
                </c:pt>
                <c:pt idx="236">
                  <c:v>1003222.6333333333</c:v>
                </c:pt>
                <c:pt idx="237">
                  <c:v>998093.48387096776</c:v>
                </c:pt>
                <c:pt idx="238">
                  <c:v>1004396.9</c:v>
                </c:pt>
                <c:pt idx="239">
                  <c:v>990652.3548387097</c:v>
                </c:pt>
                <c:pt idx="240">
                  <c:v>988208.67741935479</c:v>
                </c:pt>
                <c:pt idx="241">
                  <c:v>978978.75</c:v>
                </c:pt>
                <c:pt idx="242">
                  <c:v>1000680.7096774194</c:v>
                </c:pt>
                <c:pt idx="243">
                  <c:v>988658</c:v>
                </c:pt>
                <c:pt idx="244">
                  <c:v>1010650.7096774194</c:v>
                </c:pt>
                <c:pt idx="245">
                  <c:v>1011528</c:v>
                </c:pt>
                <c:pt idx="246">
                  <c:v>1022180.3548387097</c:v>
                </c:pt>
                <c:pt idx="247">
                  <c:v>1009389.0322580645</c:v>
                </c:pt>
                <c:pt idx="248">
                  <c:v>981202.1333333333</c:v>
                </c:pt>
                <c:pt idx="249">
                  <c:v>1027364.7741935484</c:v>
                </c:pt>
                <c:pt idx="250">
                  <c:v>1043412.9</c:v>
                </c:pt>
                <c:pt idx="251">
                  <c:v>1030301.4838709678</c:v>
                </c:pt>
                <c:pt idx="252">
                  <c:v>1031097.1290322581</c:v>
                </c:pt>
                <c:pt idx="253">
                  <c:v>1044656.6896551724</c:v>
                </c:pt>
                <c:pt idx="254">
                  <c:v>1039332.4838709678</c:v>
                </c:pt>
                <c:pt idx="255">
                  <c:v>1055398.2333333334</c:v>
                </c:pt>
                <c:pt idx="256">
                  <c:v>1037842.1612903225</c:v>
                </c:pt>
                <c:pt idx="257">
                  <c:v>1070058.9333333333</c:v>
                </c:pt>
                <c:pt idx="258">
                  <c:v>1066439.6451612904</c:v>
                </c:pt>
                <c:pt idx="259">
                  <c:v>1028137.6129032258</c:v>
                </c:pt>
                <c:pt idx="260">
                  <c:v>1062775.0333333334</c:v>
                </c:pt>
                <c:pt idx="261">
                  <c:v>1065358.4838709678</c:v>
                </c:pt>
                <c:pt idx="262">
                  <c:v>1072150.2666666666</c:v>
                </c:pt>
                <c:pt idx="263">
                  <c:v>1047688.2580645161</c:v>
                </c:pt>
                <c:pt idx="264">
                  <c:v>1043023.6774193548</c:v>
                </c:pt>
                <c:pt idx="265">
                  <c:v>1053158.392857143</c:v>
                </c:pt>
                <c:pt idx="266">
                  <c:v>1058219.9032258065</c:v>
                </c:pt>
                <c:pt idx="267">
                  <c:v>1037284.5666666667</c:v>
                </c:pt>
                <c:pt idx="268">
                  <c:v>1049352.7741935484</c:v>
                </c:pt>
                <c:pt idx="269">
                  <c:v>1076682.2333333334</c:v>
                </c:pt>
                <c:pt idx="270">
                  <c:v>1101452.2258064516</c:v>
                </c:pt>
                <c:pt idx="271">
                  <c:v>1072151.1290322582</c:v>
                </c:pt>
                <c:pt idx="272">
                  <c:v>1097499.0333333334</c:v>
                </c:pt>
                <c:pt idx="273">
                  <c:v>1088158.1290322582</c:v>
                </c:pt>
                <c:pt idx="274">
                  <c:v>1094846.5333333334</c:v>
                </c:pt>
                <c:pt idx="275">
                  <c:v>1102942.9677419355</c:v>
                </c:pt>
                <c:pt idx="276">
                  <c:v>1089687.3548387096</c:v>
                </c:pt>
                <c:pt idx="277">
                  <c:v>1115055.2857142857</c:v>
                </c:pt>
                <c:pt idx="278">
                  <c:v>1063185.064516129</c:v>
                </c:pt>
                <c:pt idx="279">
                  <c:v>1112970.7333333334</c:v>
                </c:pt>
                <c:pt idx="280">
                  <c:v>1118169.5161290322</c:v>
                </c:pt>
                <c:pt idx="281">
                  <c:v>1132839</c:v>
                </c:pt>
                <c:pt idx="282">
                  <c:v>1122848.2903225806</c:v>
                </c:pt>
                <c:pt idx="283">
                  <c:v>1146011.4516129033</c:v>
                </c:pt>
                <c:pt idx="284">
                  <c:v>1142812.6000000001</c:v>
                </c:pt>
                <c:pt idx="285">
                  <c:v>1123442.8064516129</c:v>
                </c:pt>
                <c:pt idx="286">
                  <c:v>1160011.8999999999</c:v>
                </c:pt>
                <c:pt idx="287">
                  <c:v>1142320.6129032257</c:v>
                </c:pt>
                <c:pt idx="288">
                  <c:v>1131841.1935483871</c:v>
                </c:pt>
                <c:pt idx="289">
                  <c:v>1131253.642857143</c:v>
                </c:pt>
                <c:pt idx="290">
                  <c:v>1142116.9032258065</c:v>
                </c:pt>
                <c:pt idx="291">
                  <c:v>1104308.5666666667</c:v>
                </c:pt>
                <c:pt idx="292">
                  <c:v>1088602.6774193549</c:v>
                </c:pt>
                <c:pt idx="293">
                  <c:v>1087508.3666666667</c:v>
                </c:pt>
                <c:pt idx="294">
                  <c:v>1102269.8064516129</c:v>
                </c:pt>
                <c:pt idx="295">
                  <c:v>1099208.064516129</c:v>
                </c:pt>
                <c:pt idx="296">
                  <c:v>1078909.5333333334</c:v>
                </c:pt>
                <c:pt idx="297">
                  <c:v>1055446.0322580645</c:v>
                </c:pt>
                <c:pt idx="298">
                  <c:v>1046535.2333333333</c:v>
                </c:pt>
                <c:pt idx="299">
                  <c:v>1025988.1612903225</c:v>
                </c:pt>
                <c:pt idx="300">
                  <c:v>900056.74193548388</c:v>
                </c:pt>
                <c:pt idx="301">
                  <c:v>811134</c:v>
                </c:pt>
                <c:pt idx="302">
                  <c:v>773379.90322580643</c:v>
                </c:pt>
                <c:pt idx="303">
                  <c:v>811634</c:v>
                </c:pt>
                <c:pt idx="304">
                  <c:v>837708.45161290327</c:v>
                </c:pt>
                <c:pt idx="305">
                  <c:v>849546.26666666672</c:v>
                </c:pt>
                <c:pt idx="306">
                  <c:v>821078.25806451612</c:v>
                </c:pt>
                <c:pt idx="307">
                  <c:v>826238.83870967745</c:v>
                </c:pt>
                <c:pt idx="308">
                  <c:v>861143.8</c:v>
                </c:pt>
                <c:pt idx="309">
                  <c:v>868426</c:v>
                </c:pt>
                <c:pt idx="310">
                  <c:v>861481.73333333328</c:v>
                </c:pt>
                <c:pt idx="311">
                  <c:v>849646.29032258061</c:v>
                </c:pt>
                <c:pt idx="312">
                  <c:v>854072</c:v>
                </c:pt>
                <c:pt idx="313">
                  <c:v>840879.17857142852</c:v>
                </c:pt>
                <c:pt idx="314">
                  <c:v>845722.29032258061</c:v>
                </c:pt>
                <c:pt idx="315">
                  <c:v>844389.43333333335</c:v>
                </c:pt>
                <c:pt idx="316">
                  <c:v>800245.45161290327</c:v>
                </c:pt>
                <c:pt idx="317">
                  <c:v>833744.8</c:v>
                </c:pt>
                <c:pt idx="318">
                  <c:v>809048.41935483867</c:v>
                </c:pt>
                <c:pt idx="319">
                  <c:v>837621.48387096776</c:v>
                </c:pt>
                <c:pt idx="320">
                  <c:v>831694.4</c:v>
                </c:pt>
                <c:pt idx="321">
                  <c:v>831305.12903225806</c:v>
                </c:pt>
                <c:pt idx="322">
                  <c:v>857876.1</c:v>
                </c:pt>
                <c:pt idx="323">
                  <c:v>866112.16129032255</c:v>
                </c:pt>
                <c:pt idx="324">
                  <c:v>847322.16129032255</c:v>
                </c:pt>
                <c:pt idx="325">
                  <c:v>866490.21428571432</c:v>
                </c:pt>
                <c:pt idx="326">
                  <c:v>855444.3548387097</c:v>
                </c:pt>
                <c:pt idx="327">
                  <c:v>838022.46666666667</c:v>
                </c:pt>
                <c:pt idx="328">
                  <c:v>875718.54838709673</c:v>
                </c:pt>
                <c:pt idx="329">
                  <c:v>870883.46666666667</c:v>
                </c:pt>
                <c:pt idx="330">
                  <c:v>858785.61290322582</c:v>
                </c:pt>
                <c:pt idx="331">
                  <c:v>898730.06451612909</c:v>
                </c:pt>
                <c:pt idx="332">
                  <c:v>893469.06666666665</c:v>
                </c:pt>
                <c:pt idx="333">
                  <c:v>890975.67741935479</c:v>
                </c:pt>
                <c:pt idx="334">
                  <c:v>886452.9</c:v>
                </c:pt>
                <c:pt idx="335">
                  <c:v>872906.74193548388</c:v>
                </c:pt>
                <c:pt idx="336">
                  <c:v>866816.61290322582</c:v>
                </c:pt>
                <c:pt idx="337">
                  <c:v>854169.07142857148</c:v>
                </c:pt>
                <c:pt idx="338">
                  <c:v>841669.45161290327</c:v>
                </c:pt>
                <c:pt idx="339">
                  <c:v>837233.56666666665</c:v>
                </c:pt>
                <c:pt idx="340">
                  <c:v>753898.32258064521</c:v>
                </c:pt>
                <c:pt idx="341">
                  <c:v>822029.73333333328</c:v>
                </c:pt>
                <c:pt idx="342">
                  <c:v>812621.51612903224</c:v>
                </c:pt>
                <c:pt idx="343">
                  <c:v>827266.25806451612</c:v>
                </c:pt>
                <c:pt idx="344">
                  <c:v>855590.6</c:v>
                </c:pt>
                <c:pt idx="345">
                  <c:v>866949.16129032255</c:v>
                </c:pt>
                <c:pt idx="346">
                  <c:v>869247.73333333328</c:v>
                </c:pt>
                <c:pt idx="347">
                  <c:v>863117.74193548388</c:v>
                </c:pt>
                <c:pt idx="348">
                  <c:v>863446.58064516133</c:v>
                </c:pt>
                <c:pt idx="349">
                  <c:v>875573.79310344823</c:v>
                </c:pt>
                <c:pt idx="350">
                  <c:v>817712.25806451612</c:v>
                </c:pt>
                <c:pt idx="351">
                  <c:v>562803.53333333333</c:v>
                </c:pt>
                <c:pt idx="352">
                  <c:v>533187.80645161285</c:v>
                </c:pt>
                <c:pt idx="353">
                  <c:v>672617.23333333328</c:v>
                </c:pt>
                <c:pt idx="354">
                  <c:v>689818.96774193551</c:v>
                </c:pt>
                <c:pt idx="355">
                  <c:v>701287.93548387091</c:v>
                </c:pt>
                <c:pt idx="356">
                  <c:v>698972.1</c:v>
                </c:pt>
                <c:pt idx="357">
                  <c:v>699121.29032258061</c:v>
                </c:pt>
                <c:pt idx="358">
                  <c:v>696107.1</c:v>
                </c:pt>
                <c:pt idx="359">
                  <c:v>697962.38709677418</c:v>
                </c:pt>
                <c:pt idx="360">
                  <c:v>666097.06451612909</c:v>
                </c:pt>
                <c:pt idx="361">
                  <c:v>611766.57142857148</c:v>
                </c:pt>
                <c:pt idx="362">
                  <c:v>674436.70967741939</c:v>
                </c:pt>
                <c:pt idx="363">
                  <c:v>683516.9</c:v>
                </c:pt>
                <c:pt idx="364">
                  <c:v>687877.16129032255</c:v>
                </c:pt>
                <c:pt idx="365">
                  <c:v>687813.3</c:v>
                </c:pt>
                <c:pt idx="366">
                  <c:v>701576.61290322582</c:v>
                </c:pt>
                <c:pt idx="367">
                  <c:v>704338.54838709673</c:v>
                </c:pt>
                <c:pt idx="368">
                  <c:v>709775.56666666665</c:v>
                </c:pt>
                <c:pt idx="369">
                  <c:v>712712.19354838715</c:v>
                </c:pt>
                <c:pt idx="370">
                  <c:v>737197.26666666672</c:v>
                </c:pt>
                <c:pt idx="371">
                  <c:v>755301.16129032255</c:v>
                </c:pt>
                <c:pt idx="372">
                  <c:v>747210.54838709673</c:v>
                </c:pt>
                <c:pt idx="373">
                  <c:v>752051.10714285716</c:v>
                </c:pt>
                <c:pt idx="374">
                  <c:v>752572.3548387097</c:v>
                </c:pt>
                <c:pt idx="375">
                  <c:v>737486.93333333335</c:v>
                </c:pt>
                <c:pt idx="376">
                  <c:v>744894.38709677418</c:v>
                </c:pt>
                <c:pt idx="377">
                  <c:v>774645.56666666665</c:v>
                </c:pt>
                <c:pt idx="378">
                  <c:v>773411.19354838715</c:v>
                </c:pt>
                <c:pt idx="379">
                  <c:v>778209.6451612903</c:v>
                </c:pt>
                <c:pt idx="380">
                  <c:v>800951.43333333335</c:v>
                </c:pt>
                <c:pt idx="381">
                  <c:v>781081.16129032255</c:v>
                </c:pt>
                <c:pt idx="382">
                  <c:v>804823.6333333333</c:v>
                </c:pt>
                <c:pt idx="383">
                  <c:v>784911.22580645164</c:v>
                </c:pt>
                <c:pt idx="384">
                  <c:v>792750.12903225806</c:v>
                </c:pt>
                <c:pt idx="385">
                  <c:v>794855.92857142852</c:v>
                </c:pt>
                <c:pt idx="386">
                  <c:v>806395.29032258061</c:v>
                </c:pt>
                <c:pt idx="387">
                  <c:v>797557.43333333335</c:v>
                </c:pt>
                <c:pt idx="388">
                  <c:v>828674.61290322582</c:v>
                </c:pt>
                <c:pt idx="389">
                  <c:v>693638.8666666667</c:v>
                </c:pt>
                <c:pt idx="390">
                  <c:v>812762.70967741939</c:v>
                </c:pt>
                <c:pt idx="391">
                  <c:v>827414.48387096776</c:v>
                </c:pt>
                <c:pt idx="392">
                  <c:v>832742.46666666667</c:v>
                </c:pt>
                <c:pt idx="393">
                  <c:v>850376.32258064521</c:v>
                </c:pt>
                <c:pt idx="394">
                  <c:v>862055.93333333335</c:v>
                </c:pt>
                <c:pt idx="395">
                  <c:v>855812.19354838715</c:v>
                </c:pt>
                <c:pt idx="396">
                  <c:v>820526.6451612903</c:v>
                </c:pt>
                <c:pt idx="397">
                  <c:v>858137.96551724139</c:v>
                </c:pt>
                <c:pt idx="398">
                  <c:v>866824.06451612909</c:v>
                </c:pt>
                <c:pt idx="399">
                  <c:v>831495.56666666665</c:v>
                </c:pt>
                <c:pt idx="400">
                  <c:v>833143.06451612909</c:v>
                </c:pt>
                <c:pt idx="401">
                  <c:v>766688.06666666665</c:v>
                </c:pt>
                <c:pt idx="402">
                  <c:v>836807.25806451612</c:v>
                </c:pt>
                <c:pt idx="403">
                  <c:v>869404.41935483867</c:v>
                </c:pt>
                <c:pt idx="404">
                  <c:v>878019.8</c:v>
                </c:pt>
                <c:pt idx="405">
                  <c:v>892205.6451612903</c:v>
                </c:pt>
                <c:pt idx="406">
                  <c:v>900714.2</c:v>
                </c:pt>
                <c:pt idx="407">
                  <c:v>885998.38709677418</c:v>
                </c:pt>
                <c:pt idx="408">
                  <c:v>881104.6451612903</c:v>
                </c:pt>
                <c:pt idx="409">
                  <c:v>883145.89285714284</c:v>
                </c:pt>
                <c:pt idx="410">
                  <c:v>841928.74193548388</c:v>
                </c:pt>
                <c:pt idx="411">
                  <c:v>885090.4</c:v>
                </c:pt>
                <c:pt idx="412">
                  <c:v>886632.25806451612</c:v>
                </c:pt>
                <c:pt idx="413">
                  <c:v>876042.5</c:v>
                </c:pt>
                <c:pt idx="414">
                  <c:v>876773.22580645164</c:v>
                </c:pt>
                <c:pt idx="415">
                  <c:v>875471</c:v>
                </c:pt>
                <c:pt idx="416">
                  <c:v>890238.3</c:v>
                </c:pt>
                <c:pt idx="417">
                  <c:v>889111.58064516133</c:v>
                </c:pt>
                <c:pt idx="418">
                  <c:v>883471.56666666665</c:v>
                </c:pt>
                <c:pt idx="419">
                  <c:v>878437.09677419357</c:v>
                </c:pt>
                <c:pt idx="420">
                  <c:v>845860.51612903224</c:v>
                </c:pt>
                <c:pt idx="421">
                  <c:v>863468.42857142852</c:v>
                </c:pt>
                <c:pt idx="422">
                  <c:v>876452.38709677418</c:v>
                </c:pt>
                <c:pt idx="423">
                  <c:v>878695.7</c:v>
                </c:pt>
                <c:pt idx="424">
                  <c:v>880916.16129032255</c:v>
                </c:pt>
                <c:pt idx="425">
                  <c:v>879414.83333333337</c:v>
                </c:pt>
                <c:pt idx="426">
                  <c:v>880241.6451612903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42-4461-A934-9167089DA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540064"/>
        <c:axId val="567540392"/>
      </c:lineChart>
      <c:lineChart>
        <c:grouping val="standard"/>
        <c:varyColors val="0"/>
        <c:ser>
          <c:idx val="1"/>
          <c:order val="1"/>
          <c:tx>
            <c:v>Average Oil Price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'Input Data'!$A$2:$A$434</c:f>
              <c:numCache>
                <c:formatCode>[$-409]mmm\-yy;@</c:formatCode>
                <c:ptCount val="433"/>
                <c:pt idx="0">
                  <c:v>33239</c:v>
                </c:pt>
                <c:pt idx="1">
                  <c:v>33270</c:v>
                </c:pt>
                <c:pt idx="2">
                  <c:v>33298</c:v>
                </c:pt>
                <c:pt idx="3">
                  <c:v>33329</c:v>
                </c:pt>
                <c:pt idx="4">
                  <c:v>33359</c:v>
                </c:pt>
                <c:pt idx="5">
                  <c:v>33390</c:v>
                </c:pt>
                <c:pt idx="6">
                  <c:v>33420</c:v>
                </c:pt>
                <c:pt idx="7">
                  <c:v>33451</c:v>
                </c:pt>
                <c:pt idx="8">
                  <c:v>33482</c:v>
                </c:pt>
                <c:pt idx="9">
                  <c:v>33512</c:v>
                </c:pt>
                <c:pt idx="10">
                  <c:v>33543</c:v>
                </c:pt>
                <c:pt idx="11">
                  <c:v>33573</c:v>
                </c:pt>
                <c:pt idx="12">
                  <c:v>33604</c:v>
                </c:pt>
                <c:pt idx="13">
                  <c:v>33635</c:v>
                </c:pt>
                <c:pt idx="14">
                  <c:v>33664</c:v>
                </c:pt>
                <c:pt idx="15">
                  <c:v>33695</c:v>
                </c:pt>
                <c:pt idx="16">
                  <c:v>33725</c:v>
                </c:pt>
                <c:pt idx="17">
                  <c:v>33756</c:v>
                </c:pt>
                <c:pt idx="18">
                  <c:v>33786</c:v>
                </c:pt>
                <c:pt idx="19">
                  <c:v>33817</c:v>
                </c:pt>
                <c:pt idx="20">
                  <c:v>33848</c:v>
                </c:pt>
                <c:pt idx="21">
                  <c:v>33878</c:v>
                </c:pt>
                <c:pt idx="22">
                  <c:v>33909</c:v>
                </c:pt>
                <c:pt idx="23">
                  <c:v>33939</c:v>
                </c:pt>
                <c:pt idx="24">
                  <c:v>33970</c:v>
                </c:pt>
                <c:pt idx="25">
                  <c:v>34001</c:v>
                </c:pt>
                <c:pt idx="26">
                  <c:v>34029</c:v>
                </c:pt>
                <c:pt idx="27">
                  <c:v>34060</c:v>
                </c:pt>
                <c:pt idx="28">
                  <c:v>34090</c:v>
                </c:pt>
                <c:pt idx="29">
                  <c:v>34121</c:v>
                </c:pt>
                <c:pt idx="30">
                  <c:v>34151</c:v>
                </c:pt>
                <c:pt idx="31">
                  <c:v>34182</c:v>
                </c:pt>
                <c:pt idx="32">
                  <c:v>34213</c:v>
                </c:pt>
                <c:pt idx="33">
                  <c:v>34243</c:v>
                </c:pt>
                <c:pt idx="34">
                  <c:v>34274</c:v>
                </c:pt>
                <c:pt idx="35">
                  <c:v>34304</c:v>
                </c:pt>
                <c:pt idx="36">
                  <c:v>34335</c:v>
                </c:pt>
                <c:pt idx="37">
                  <c:v>34366</c:v>
                </c:pt>
                <c:pt idx="38">
                  <c:v>34394</c:v>
                </c:pt>
                <c:pt idx="39">
                  <c:v>34425</c:v>
                </c:pt>
                <c:pt idx="40">
                  <c:v>34455</c:v>
                </c:pt>
                <c:pt idx="41">
                  <c:v>34486</c:v>
                </c:pt>
                <c:pt idx="42">
                  <c:v>34516</c:v>
                </c:pt>
                <c:pt idx="43">
                  <c:v>34547</c:v>
                </c:pt>
                <c:pt idx="44">
                  <c:v>34578</c:v>
                </c:pt>
                <c:pt idx="45">
                  <c:v>34608</c:v>
                </c:pt>
                <c:pt idx="46">
                  <c:v>34639</c:v>
                </c:pt>
                <c:pt idx="47">
                  <c:v>34669</c:v>
                </c:pt>
                <c:pt idx="48">
                  <c:v>34700</c:v>
                </c:pt>
                <c:pt idx="49">
                  <c:v>34731</c:v>
                </c:pt>
                <c:pt idx="50">
                  <c:v>34759</c:v>
                </c:pt>
                <c:pt idx="51">
                  <c:v>34790</c:v>
                </c:pt>
                <c:pt idx="52">
                  <c:v>34820</c:v>
                </c:pt>
                <c:pt idx="53">
                  <c:v>34851</c:v>
                </c:pt>
                <c:pt idx="54">
                  <c:v>34881</c:v>
                </c:pt>
                <c:pt idx="55">
                  <c:v>34912</c:v>
                </c:pt>
                <c:pt idx="56">
                  <c:v>34943</c:v>
                </c:pt>
                <c:pt idx="57">
                  <c:v>34973</c:v>
                </c:pt>
                <c:pt idx="58">
                  <c:v>35004</c:v>
                </c:pt>
                <c:pt idx="59">
                  <c:v>35034</c:v>
                </c:pt>
                <c:pt idx="60">
                  <c:v>35065</c:v>
                </c:pt>
                <c:pt idx="61">
                  <c:v>35096</c:v>
                </c:pt>
                <c:pt idx="62">
                  <c:v>35125</c:v>
                </c:pt>
                <c:pt idx="63">
                  <c:v>35156</c:v>
                </c:pt>
                <c:pt idx="64">
                  <c:v>35186</c:v>
                </c:pt>
                <c:pt idx="65">
                  <c:v>35217</c:v>
                </c:pt>
                <c:pt idx="66">
                  <c:v>35247</c:v>
                </c:pt>
                <c:pt idx="67">
                  <c:v>35278</c:v>
                </c:pt>
                <c:pt idx="68">
                  <c:v>35309</c:v>
                </c:pt>
                <c:pt idx="69">
                  <c:v>35339</c:v>
                </c:pt>
                <c:pt idx="70">
                  <c:v>35370</c:v>
                </c:pt>
                <c:pt idx="71">
                  <c:v>35400</c:v>
                </c:pt>
                <c:pt idx="72">
                  <c:v>35431</c:v>
                </c:pt>
                <c:pt idx="73">
                  <c:v>35462</c:v>
                </c:pt>
                <c:pt idx="74">
                  <c:v>35490</c:v>
                </c:pt>
                <c:pt idx="75">
                  <c:v>35521</c:v>
                </c:pt>
                <c:pt idx="76">
                  <c:v>35551</c:v>
                </c:pt>
                <c:pt idx="77">
                  <c:v>35582</c:v>
                </c:pt>
                <c:pt idx="78">
                  <c:v>35612</c:v>
                </c:pt>
                <c:pt idx="79">
                  <c:v>35643</c:v>
                </c:pt>
                <c:pt idx="80">
                  <c:v>35674</c:v>
                </c:pt>
                <c:pt idx="81">
                  <c:v>35704</c:v>
                </c:pt>
                <c:pt idx="82">
                  <c:v>35735</c:v>
                </c:pt>
                <c:pt idx="83">
                  <c:v>35765</c:v>
                </c:pt>
                <c:pt idx="84">
                  <c:v>35796</c:v>
                </c:pt>
                <c:pt idx="85">
                  <c:v>35827</c:v>
                </c:pt>
                <c:pt idx="86">
                  <c:v>35855</c:v>
                </c:pt>
                <c:pt idx="87">
                  <c:v>35886</c:v>
                </c:pt>
                <c:pt idx="88">
                  <c:v>35916</c:v>
                </c:pt>
                <c:pt idx="89">
                  <c:v>35947</c:v>
                </c:pt>
                <c:pt idx="90">
                  <c:v>35977</c:v>
                </c:pt>
                <c:pt idx="91">
                  <c:v>36008</c:v>
                </c:pt>
                <c:pt idx="92">
                  <c:v>36039</c:v>
                </c:pt>
                <c:pt idx="93">
                  <c:v>36069</c:v>
                </c:pt>
                <c:pt idx="94">
                  <c:v>36100</c:v>
                </c:pt>
                <c:pt idx="95">
                  <c:v>36130</c:v>
                </c:pt>
                <c:pt idx="96">
                  <c:v>36161</c:v>
                </c:pt>
                <c:pt idx="97">
                  <c:v>36192</c:v>
                </c:pt>
                <c:pt idx="98">
                  <c:v>36220</c:v>
                </c:pt>
                <c:pt idx="99">
                  <c:v>36251</c:v>
                </c:pt>
                <c:pt idx="100">
                  <c:v>36281</c:v>
                </c:pt>
                <c:pt idx="101">
                  <c:v>36312</c:v>
                </c:pt>
                <c:pt idx="102">
                  <c:v>36342</c:v>
                </c:pt>
                <c:pt idx="103">
                  <c:v>36373</c:v>
                </c:pt>
                <c:pt idx="104">
                  <c:v>36404</c:v>
                </c:pt>
                <c:pt idx="105">
                  <c:v>36434</c:v>
                </c:pt>
                <c:pt idx="106">
                  <c:v>36465</c:v>
                </c:pt>
                <c:pt idx="107">
                  <c:v>36495</c:v>
                </c:pt>
                <c:pt idx="108">
                  <c:v>36526</c:v>
                </c:pt>
                <c:pt idx="109">
                  <c:v>36557</c:v>
                </c:pt>
                <c:pt idx="110">
                  <c:v>36586</c:v>
                </c:pt>
                <c:pt idx="111">
                  <c:v>36617</c:v>
                </c:pt>
                <c:pt idx="112">
                  <c:v>36647</c:v>
                </c:pt>
                <c:pt idx="113">
                  <c:v>36678</c:v>
                </c:pt>
                <c:pt idx="114">
                  <c:v>36708</c:v>
                </c:pt>
                <c:pt idx="115">
                  <c:v>36739</c:v>
                </c:pt>
                <c:pt idx="116">
                  <c:v>36770</c:v>
                </c:pt>
                <c:pt idx="117">
                  <c:v>36800</c:v>
                </c:pt>
                <c:pt idx="118">
                  <c:v>36831</c:v>
                </c:pt>
                <c:pt idx="119">
                  <c:v>36861</c:v>
                </c:pt>
                <c:pt idx="120">
                  <c:v>36892</c:v>
                </c:pt>
                <c:pt idx="121">
                  <c:v>36923</c:v>
                </c:pt>
                <c:pt idx="122">
                  <c:v>36951</c:v>
                </c:pt>
                <c:pt idx="123">
                  <c:v>36982</c:v>
                </c:pt>
                <c:pt idx="124">
                  <c:v>37012</c:v>
                </c:pt>
                <c:pt idx="125">
                  <c:v>37043</c:v>
                </c:pt>
                <c:pt idx="126">
                  <c:v>37073</c:v>
                </c:pt>
                <c:pt idx="127">
                  <c:v>37104</c:v>
                </c:pt>
                <c:pt idx="128">
                  <c:v>37135</c:v>
                </c:pt>
                <c:pt idx="129">
                  <c:v>37165</c:v>
                </c:pt>
                <c:pt idx="130">
                  <c:v>37196</c:v>
                </c:pt>
                <c:pt idx="131">
                  <c:v>37226</c:v>
                </c:pt>
                <c:pt idx="132">
                  <c:v>37257</c:v>
                </c:pt>
                <c:pt idx="133">
                  <c:v>37288</c:v>
                </c:pt>
                <c:pt idx="134">
                  <c:v>37316</c:v>
                </c:pt>
                <c:pt idx="135">
                  <c:v>37347</c:v>
                </c:pt>
                <c:pt idx="136">
                  <c:v>37377</c:v>
                </c:pt>
                <c:pt idx="137">
                  <c:v>37408</c:v>
                </c:pt>
                <c:pt idx="138">
                  <c:v>37438</c:v>
                </c:pt>
                <c:pt idx="139">
                  <c:v>37469</c:v>
                </c:pt>
                <c:pt idx="140">
                  <c:v>37500</c:v>
                </c:pt>
                <c:pt idx="141">
                  <c:v>37530</c:v>
                </c:pt>
                <c:pt idx="142">
                  <c:v>37561</c:v>
                </c:pt>
                <c:pt idx="143">
                  <c:v>37591</c:v>
                </c:pt>
                <c:pt idx="144">
                  <c:v>37622</c:v>
                </c:pt>
                <c:pt idx="145">
                  <c:v>37653</c:v>
                </c:pt>
                <c:pt idx="146">
                  <c:v>37681</c:v>
                </c:pt>
                <c:pt idx="147">
                  <c:v>37712</c:v>
                </c:pt>
                <c:pt idx="148">
                  <c:v>37742</c:v>
                </c:pt>
                <c:pt idx="149">
                  <c:v>37773</c:v>
                </c:pt>
                <c:pt idx="150">
                  <c:v>37803</c:v>
                </c:pt>
                <c:pt idx="151">
                  <c:v>37834</c:v>
                </c:pt>
                <c:pt idx="152">
                  <c:v>37865</c:v>
                </c:pt>
                <c:pt idx="153">
                  <c:v>37895</c:v>
                </c:pt>
                <c:pt idx="154">
                  <c:v>37926</c:v>
                </c:pt>
                <c:pt idx="155">
                  <c:v>37956</c:v>
                </c:pt>
                <c:pt idx="156">
                  <c:v>37987</c:v>
                </c:pt>
                <c:pt idx="157">
                  <c:v>38018</c:v>
                </c:pt>
                <c:pt idx="158">
                  <c:v>38047</c:v>
                </c:pt>
                <c:pt idx="159">
                  <c:v>38078</c:v>
                </c:pt>
                <c:pt idx="160">
                  <c:v>38108</c:v>
                </c:pt>
                <c:pt idx="161">
                  <c:v>38139</c:v>
                </c:pt>
                <c:pt idx="162">
                  <c:v>38169</c:v>
                </c:pt>
                <c:pt idx="163">
                  <c:v>38200</c:v>
                </c:pt>
                <c:pt idx="164">
                  <c:v>38231</c:v>
                </c:pt>
                <c:pt idx="165">
                  <c:v>38261</c:v>
                </c:pt>
                <c:pt idx="166">
                  <c:v>38292</c:v>
                </c:pt>
                <c:pt idx="167">
                  <c:v>38322</c:v>
                </c:pt>
                <c:pt idx="168">
                  <c:v>38353</c:v>
                </c:pt>
                <c:pt idx="169">
                  <c:v>38384</c:v>
                </c:pt>
                <c:pt idx="170">
                  <c:v>38412</c:v>
                </c:pt>
                <c:pt idx="171">
                  <c:v>38443</c:v>
                </c:pt>
                <c:pt idx="172">
                  <c:v>38473</c:v>
                </c:pt>
                <c:pt idx="173">
                  <c:v>38504</c:v>
                </c:pt>
                <c:pt idx="174">
                  <c:v>38534</c:v>
                </c:pt>
                <c:pt idx="175">
                  <c:v>38565</c:v>
                </c:pt>
                <c:pt idx="176">
                  <c:v>38596</c:v>
                </c:pt>
                <c:pt idx="177">
                  <c:v>38626</c:v>
                </c:pt>
                <c:pt idx="178">
                  <c:v>38657</c:v>
                </c:pt>
                <c:pt idx="179">
                  <c:v>38687</c:v>
                </c:pt>
                <c:pt idx="180">
                  <c:v>38718</c:v>
                </c:pt>
                <c:pt idx="181">
                  <c:v>38749</c:v>
                </c:pt>
                <c:pt idx="182">
                  <c:v>38777</c:v>
                </c:pt>
                <c:pt idx="183">
                  <c:v>38808</c:v>
                </c:pt>
                <c:pt idx="184">
                  <c:v>38838</c:v>
                </c:pt>
                <c:pt idx="185">
                  <c:v>38869</c:v>
                </c:pt>
                <c:pt idx="186">
                  <c:v>38899</c:v>
                </c:pt>
                <c:pt idx="187">
                  <c:v>38930</c:v>
                </c:pt>
                <c:pt idx="188">
                  <c:v>38961</c:v>
                </c:pt>
                <c:pt idx="189">
                  <c:v>38991</c:v>
                </c:pt>
                <c:pt idx="190">
                  <c:v>39022</c:v>
                </c:pt>
                <c:pt idx="191">
                  <c:v>39052</c:v>
                </c:pt>
                <c:pt idx="192">
                  <c:v>39083</c:v>
                </c:pt>
                <c:pt idx="193">
                  <c:v>39114</c:v>
                </c:pt>
                <c:pt idx="194">
                  <c:v>39142</c:v>
                </c:pt>
                <c:pt idx="195">
                  <c:v>39173</c:v>
                </c:pt>
                <c:pt idx="196">
                  <c:v>39203</c:v>
                </c:pt>
                <c:pt idx="197">
                  <c:v>39234</c:v>
                </c:pt>
                <c:pt idx="198">
                  <c:v>39264</c:v>
                </c:pt>
                <c:pt idx="199">
                  <c:v>39295</c:v>
                </c:pt>
                <c:pt idx="200">
                  <c:v>39326</c:v>
                </c:pt>
                <c:pt idx="201">
                  <c:v>39356</c:v>
                </c:pt>
                <c:pt idx="202">
                  <c:v>39387</c:v>
                </c:pt>
                <c:pt idx="203">
                  <c:v>39417</c:v>
                </c:pt>
                <c:pt idx="204">
                  <c:v>39448</c:v>
                </c:pt>
                <c:pt idx="205">
                  <c:v>39479</c:v>
                </c:pt>
                <c:pt idx="206">
                  <c:v>39508</c:v>
                </c:pt>
                <c:pt idx="207">
                  <c:v>39539</c:v>
                </c:pt>
                <c:pt idx="208">
                  <c:v>39569</c:v>
                </c:pt>
                <c:pt idx="209">
                  <c:v>39600</c:v>
                </c:pt>
                <c:pt idx="210">
                  <c:v>39630</c:v>
                </c:pt>
                <c:pt idx="211">
                  <c:v>39661</c:v>
                </c:pt>
                <c:pt idx="212">
                  <c:v>39692</c:v>
                </c:pt>
                <c:pt idx="213">
                  <c:v>39722</c:v>
                </c:pt>
                <c:pt idx="214">
                  <c:v>39753</c:v>
                </c:pt>
                <c:pt idx="215">
                  <c:v>39783</c:v>
                </c:pt>
                <c:pt idx="216">
                  <c:v>39814</c:v>
                </c:pt>
                <c:pt idx="217">
                  <c:v>39845</c:v>
                </c:pt>
                <c:pt idx="218">
                  <c:v>39873</c:v>
                </c:pt>
                <c:pt idx="219">
                  <c:v>39904</c:v>
                </c:pt>
                <c:pt idx="220">
                  <c:v>39934</c:v>
                </c:pt>
                <c:pt idx="221">
                  <c:v>39965</c:v>
                </c:pt>
                <c:pt idx="222">
                  <c:v>39995</c:v>
                </c:pt>
                <c:pt idx="223">
                  <c:v>40026</c:v>
                </c:pt>
                <c:pt idx="224">
                  <c:v>40057</c:v>
                </c:pt>
                <c:pt idx="225">
                  <c:v>40087</c:v>
                </c:pt>
                <c:pt idx="226">
                  <c:v>40118</c:v>
                </c:pt>
                <c:pt idx="227">
                  <c:v>40148</c:v>
                </c:pt>
                <c:pt idx="228">
                  <c:v>40179</c:v>
                </c:pt>
                <c:pt idx="229">
                  <c:v>40210</c:v>
                </c:pt>
                <c:pt idx="230">
                  <c:v>40238</c:v>
                </c:pt>
                <c:pt idx="231">
                  <c:v>40269</c:v>
                </c:pt>
                <c:pt idx="232">
                  <c:v>40299</c:v>
                </c:pt>
                <c:pt idx="233">
                  <c:v>40330</c:v>
                </c:pt>
                <c:pt idx="234">
                  <c:v>40360</c:v>
                </c:pt>
                <c:pt idx="235">
                  <c:v>40391</c:v>
                </c:pt>
                <c:pt idx="236">
                  <c:v>40422</c:v>
                </c:pt>
                <c:pt idx="237">
                  <c:v>40452</c:v>
                </c:pt>
                <c:pt idx="238">
                  <c:v>40483</c:v>
                </c:pt>
                <c:pt idx="239">
                  <c:v>40513</c:v>
                </c:pt>
                <c:pt idx="240">
                  <c:v>40544</c:v>
                </c:pt>
                <c:pt idx="241">
                  <c:v>40575</c:v>
                </c:pt>
                <c:pt idx="242">
                  <c:v>40603</c:v>
                </c:pt>
                <c:pt idx="243">
                  <c:v>40634</c:v>
                </c:pt>
                <c:pt idx="244">
                  <c:v>40664</c:v>
                </c:pt>
                <c:pt idx="245">
                  <c:v>40695</c:v>
                </c:pt>
                <c:pt idx="246">
                  <c:v>40725</c:v>
                </c:pt>
                <c:pt idx="247">
                  <c:v>40756</c:v>
                </c:pt>
                <c:pt idx="248">
                  <c:v>40787</c:v>
                </c:pt>
                <c:pt idx="249">
                  <c:v>40817</c:v>
                </c:pt>
                <c:pt idx="250">
                  <c:v>40848</c:v>
                </c:pt>
                <c:pt idx="251">
                  <c:v>40878</c:v>
                </c:pt>
                <c:pt idx="252">
                  <c:v>40909</c:v>
                </c:pt>
                <c:pt idx="253">
                  <c:v>40940</c:v>
                </c:pt>
                <c:pt idx="254">
                  <c:v>40969</c:v>
                </c:pt>
                <c:pt idx="255">
                  <c:v>41000</c:v>
                </c:pt>
                <c:pt idx="256">
                  <c:v>41030</c:v>
                </c:pt>
                <c:pt idx="257">
                  <c:v>41061</c:v>
                </c:pt>
                <c:pt idx="258">
                  <c:v>41091</c:v>
                </c:pt>
                <c:pt idx="259">
                  <c:v>41122</c:v>
                </c:pt>
                <c:pt idx="260">
                  <c:v>41153</c:v>
                </c:pt>
                <c:pt idx="261">
                  <c:v>41183</c:v>
                </c:pt>
                <c:pt idx="262">
                  <c:v>41214</c:v>
                </c:pt>
                <c:pt idx="263">
                  <c:v>41244</c:v>
                </c:pt>
                <c:pt idx="264">
                  <c:v>41275</c:v>
                </c:pt>
                <c:pt idx="265">
                  <c:v>41306</c:v>
                </c:pt>
                <c:pt idx="266">
                  <c:v>41334</c:v>
                </c:pt>
                <c:pt idx="267">
                  <c:v>41365</c:v>
                </c:pt>
                <c:pt idx="268">
                  <c:v>41395</c:v>
                </c:pt>
                <c:pt idx="269">
                  <c:v>41426</c:v>
                </c:pt>
                <c:pt idx="270">
                  <c:v>41456</c:v>
                </c:pt>
                <c:pt idx="271">
                  <c:v>41487</c:v>
                </c:pt>
                <c:pt idx="272">
                  <c:v>41518</c:v>
                </c:pt>
                <c:pt idx="273">
                  <c:v>41548</c:v>
                </c:pt>
                <c:pt idx="274">
                  <c:v>41579</c:v>
                </c:pt>
                <c:pt idx="275">
                  <c:v>41609</c:v>
                </c:pt>
                <c:pt idx="276">
                  <c:v>41640</c:v>
                </c:pt>
                <c:pt idx="277">
                  <c:v>41671</c:v>
                </c:pt>
                <c:pt idx="278">
                  <c:v>41699</c:v>
                </c:pt>
                <c:pt idx="279">
                  <c:v>41730</c:v>
                </c:pt>
                <c:pt idx="280">
                  <c:v>41760</c:v>
                </c:pt>
                <c:pt idx="281">
                  <c:v>41791</c:v>
                </c:pt>
                <c:pt idx="282">
                  <c:v>41821</c:v>
                </c:pt>
                <c:pt idx="283">
                  <c:v>41852</c:v>
                </c:pt>
                <c:pt idx="284">
                  <c:v>41883</c:v>
                </c:pt>
                <c:pt idx="285">
                  <c:v>41913</c:v>
                </c:pt>
                <c:pt idx="286">
                  <c:v>41944</c:v>
                </c:pt>
                <c:pt idx="287">
                  <c:v>41974</c:v>
                </c:pt>
                <c:pt idx="288">
                  <c:v>42005</c:v>
                </c:pt>
                <c:pt idx="289">
                  <c:v>42036</c:v>
                </c:pt>
                <c:pt idx="290">
                  <c:v>42064</c:v>
                </c:pt>
                <c:pt idx="291">
                  <c:v>42095</c:v>
                </c:pt>
                <c:pt idx="292">
                  <c:v>42125</c:v>
                </c:pt>
                <c:pt idx="293">
                  <c:v>42156</c:v>
                </c:pt>
                <c:pt idx="294">
                  <c:v>42186</c:v>
                </c:pt>
                <c:pt idx="295">
                  <c:v>42217</c:v>
                </c:pt>
                <c:pt idx="296">
                  <c:v>42248</c:v>
                </c:pt>
                <c:pt idx="297">
                  <c:v>42278</c:v>
                </c:pt>
                <c:pt idx="298">
                  <c:v>42309</c:v>
                </c:pt>
                <c:pt idx="299">
                  <c:v>42339</c:v>
                </c:pt>
                <c:pt idx="300">
                  <c:v>42370</c:v>
                </c:pt>
                <c:pt idx="301">
                  <c:v>42401</c:v>
                </c:pt>
                <c:pt idx="302">
                  <c:v>42430</c:v>
                </c:pt>
                <c:pt idx="303">
                  <c:v>42461</c:v>
                </c:pt>
                <c:pt idx="304">
                  <c:v>42491</c:v>
                </c:pt>
                <c:pt idx="305">
                  <c:v>42522</c:v>
                </c:pt>
                <c:pt idx="306">
                  <c:v>42552</c:v>
                </c:pt>
                <c:pt idx="307">
                  <c:v>42583</c:v>
                </c:pt>
                <c:pt idx="308">
                  <c:v>42614</c:v>
                </c:pt>
                <c:pt idx="309">
                  <c:v>42644</c:v>
                </c:pt>
                <c:pt idx="310">
                  <c:v>42675</c:v>
                </c:pt>
                <c:pt idx="311">
                  <c:v>42705</c:v>
                </c:pt>
                <c:pt idx="312">
                  <c:v>42736</c:v>
                </c:pt>
                <c:pt idx="313">
                  <c:v>42767</c:v>
                </c:pt>
                <c:pt idx="314">
                  <c:v>42795</c:v>
                </c:pt>
                <c:pt idx="315">
                  <c:v>42826</c:v>
                </c:pt>
                <c:pt idx="316">
                  <c:v>42856</c:v>
                </c:pt>
                <c:pt idx="317">
                  <c:v>42887</c:v>
                </c:pt>
                <c:pt idx="318">
                  <c:v>42917</c:v>
                </c:pt>
                <c:pt idx="319">
                  <c:v>42948</c:v>
                </c:pt>
                <c:pt idx="320">
                  <c:v>42979</c:v>
                </c:pt>
                <c:pt idx="321">
                  <c:v>43009</c:v>
                </c:pt>
                <c:pt idx="322">
                  <c:v>43040</c:v>
                </c:pt>
                <c:pt idx="323">
                  <c:v>43070</c:v>
                </c:pt>
                <c:pt idx="324">
                  <c:v>43101</c:v>
                </c:pt>
                <c:pt idx="325">
                  <c:v>43132</c:v>
                </c:pt>
                <c:pt idx="326">
                  <c:v>43160</c:v>
                </c:pt>
                <c:pt idx="327">
                  <c:v>43191</c:v>
                </c:pt>
                <c:pt idx="328">
                  <c:v>43221</c:v>
                </c:pt>
                <c:pt idx="329">
                  <c:v>43252</c:v>
                </c:pt>
                <c:pt idx="330">
                  <c:v>43282</c:v>
                </c:pt>
                <c:pt idx="331">
                  <c:v>43313</c:v>
                </c:pt>
                <c:pt idx="332">
                  <c:v>43344</c:v>
                </c:pt>
                <c:pt idx="333">
                  <c:v>43374</c:v>
                </c:pt>
                <c:pt idx="334">
                  <c:v>43405</c:v>
                </c:pt>
                <c:pt idx="335">
                  <c:v>43435</c:v>
                </c:pt>
                <c:pt idx="336">
                  <c:v>43466</c:v>
                </c:pt>
                <c:pt idx="337">
                  <c:v>43497</c:v>
                </c:pt>
                <c:pt idx="338">
                  <c:v>43525</c:v>
                </c:pt>
                <c:pt idx="339">
                  <c:v>43556</c:v>
                </c:pt>
                <c:pt idx="340">
                  <c:v>43586</c:v>
                </c:pt>
                <c:pt idx="341">
                  <c:v>43617</c:v>
                </c:pt>
                <c:pt idx="342">
                  <c:v>43647</c:v>
                </c:pt>
                <c:pt idx="343">
                  <c:v>43678</c:v>
                </c:pt>
                <c:pt idx="344">
                  <c:v>43709</c:v>
                </c:pt>
                <c:pt idx="345">
                  <c:v>43739</c:v>
                </c:pt>
                <c:pt idx="346">
                  <c:v>43770</c:v>
                </c:pt>
                <c:pt idx="347">
                  <c:v>43800</c:v>
                </c:pt>
                <c:pt idx="348">
                  <c:v>43831</c:v>
                </c:pt>
                <c:pt idx="349">
                  <c:v>43862</c:v>
                </c:pt>
                <c:pt idx="350">
                  <c:v>43891</c:v>
                </c:pt>
                <c:pt idx="351">
                  <c:v>43922</c:v>
                </c:pt>
                <c:pt idx="352">
                  <c:v>43952</c:v>
                </c:pt>
                <c:pt idx="353">
                  <c:v>43983</c:v>
                </c:pt>
                <c:pt idx="354">
                  <c:v>44013</c:v>
                </c:pt>
                <c:pt idx="355">
                  <c:v>44044</c:v>
                </c:pt>
                <c:pt idx="356">
                  <c:v>44075</c:v>
                </c:pt>
                <c:pt idx="357">
                  <c:v>44105</c:v>
                </c:pt>
                <c:pt idx="358">
                  <c:v>44136</c:v>
                </c:pt>
                <c:pt idx="359">
                  <c:v>44166</c:v>
                </c:pt>
                <c:pt idx="360">
                  <c:v>44197</c:v>
                </c:pt>
                <c:pt idx="361">
                  <c:v>44228</c:v>
                </c:pt>
                <c:pt idx="362">
                  <c:v>44256</c:v>
                </c:pt>
                <c:pt idx="363">
                  <c:v>44287</c:v>
                </c:pt>
                <c:pt idx="364">
                  <c:v>44317</c:v>
                </c:pt>
                <c:pt idx="365">
                  <c:v>44348</c:v>
                </c:pt>
                <c:pt idx="366">
                  <c:v>44378</c:v>
                </c:pt>
                <c:pt idx="367">
                  <c:v>44409</c:v>
                </c:pt>
                <c:pt idx="368">
                  <c:v>44440</c:v>
                </c:pt>
                <c:pt idx="369">
                  <c:v>44470</c:v>
                </c:pt>
                <c:pt idx="370">
                  <c:v>44501</c:v>
                </c:pt>
                <c:pt idx="371">
                  <c:v>44531</c:v>
                </c:pt>
                <c:pt idx="372">
                  <c:v>44562</c:v>
                </c:pt>
                <c:pt idx="373">
                  <c:v>44593</c:v>
                </c:pt>
                <c:pt idx="374">
                  <c:v>44621</c:v>
                </c:pt>
                <c:pt idx="375">
                  <c:v>44652</c:v>
                </c:pt>
                <c:pt idx="376">
                  <c:v>44682</c:v>
                </c:pt>
                <c:pt idx="377">
                  <c:v>44713</c:v>
                </c:pt>
                <c:pt idx="378">
                  <c:v>44743</c:v>
                </c:pt>
                <c:pt idx="379">
                  <c:v>44774</c:v>
                </c:pt>
                <c:pt idx="380">
                  <c:v>44805</c:v>
                </c:pt>
                <c:pt idx="381">
                  <c:v>44835</c:v>
                </c:pt>
                <c:pt idx="382">
                  <c:v>44866</c:v>
                </c:pt>
                <c:pt idx="383">
                  <c:v>44896</c:v>
                </c:pt>
                <c:pt idx="384">
                  <c:v>44927</c:v>
                </c:pt>
                <c:pt idx="385">
                  <c:v>44958</c:v>
                </c:pt>
                <c:pt idx="386">
                  <c:v>44986</c:v>
                </c:pt>
                <c:pt idx="387">
                  <c:v>45017</c:v>
                </c:pt>
                <c:pt idx="388">
                  <c:v>45047</c:v>
                </c:pt>
                <c:pt idx="389">
                  <c:v>45078</c:v>
                </c:pt>
                <c:pt idx="390">
                  <c:v>45108</c:v>
                </c:pt>
                <c:pt idx="391">
                  <c:v>45139</c:v>
                </c:pt>
                <c:pt idx="392">
                  <c:v>45170</c:v>
                </c:pt>
                <c:pt idx="393">
                  <c:v>45200</c:v>
                </c:pt>
                <c:pt idx="394">
                  <c:v>45231</c:v>
                </c:pt>
                <c:pt idx="395">
                  <c:v>45261</c:v>
                </c:pt>
                <c:pt idx="396">
                  <c:v>45292</c:v>
                </c:pt>
                <c:pt idx="397">
                  <c:v>45323</c:v>
                </c:pt>
                <c:pt idx="398">
                  <c:v>45352</c:v>
                </c:pt>
                <c:pt idx="399">
                  <c:v>45383</c:v>
                </c:pt>
                <c:pt idx="400">
                  <c:v>45413</c:v>
                </c:pt>
                <c:pt idx="401">
                  <c:v>45444</c:v>
                </c:pt>
                <c:pt idx="402">
                  <c:v>45474</c:v>
                </c:pt>
                <c:pt idx="403">
                  <c:v>45505</c:v>
                </c:pt>
                <c:pt idx="404">
                  <c:v>45536</c:v>
                </c:pt>
                <c:pt idx="405">
                  <c:v>45566</c:v>
                </c:pt>
                <c:pt idx="406">
                  <c:v>45597</c:v>
                </c:pt>
                <c:pt idx="407">
                  <c:v>45627</c:v>
                </c:pt>
                <c:pt idx="408">
                  <c:v>45658</c:v>
                </c:pt>
                <c:pt idx="409">
                  <c:v>45689</c:v>
                </c:pt>
                <c:pt idx="410">
                  <c:v>45717</c:v>
                </c:pt>
                <c:pt idx="411">
                  <c:v>45748</c:v>
                </c:pt>
                <c:pt idx="412">
                  <c:v>45778</c:v>
                </c:pt>
                <c:pt idx="413">
                  <c:v>45809</c:v>
                </c:pt>
                <c:pt idx="414">
                  <c:v>45839</c:v>
                </c:pt>
                <c:pt idx="415">
                  <c:v>45870</c:v>
                </c:pt>
                <c:pt idx="416">
                  <c:v>45901</c:v>
                </c:pt>
                <c:pt idx="417">
                  <c:v>45931</c:v>
                </c:pt>
                <c:pt idx="418">
                  <c:v>45962</c:v>
                </c:pt>
                <c:pt idx="419">
                  <c:v>45992</c:v>
                </c:pt>
                <c:pt idx="420">
                  <c:v>46023</c:v>
                </c:pt>
                <c:pt idx="421">
                  <c:v>46054</c:v>
                </c:pt>
                <c:pt idx="422">
                  <c:v>46082</c:v>
                </c:pt>
                <c:pt idx="423">
                  <c:v>46113</c:v>
                </c:pt>
                <c:pt idx="424">
                  <c:v>46143</c:v>
                </c:pt>
                <c:pt idx="425">
                  <c:v>46174</c:v>
                </c:pt>
                <c:pt idx="426">
                  <c:v>46204</c:v>
                </c:pt>
                <c:pt idx="427">
                  <c:v>46235</c:v>
                </c:pt>
                <c:pt idx="428">
                  <c:v>46266</c:v>
                </c:pt>
                <c:pt idx="429">
                  <c:v>46296</c:v>
                </c:pt>
                <c:pt idx="430">
                  <c:v>46327</c:v>
                </c:pt>
                <c:pt idx="431">
                  <c:v>46357</c:v>
                </c:pt>
                <c:pt idx="432">
                  <c:v>46388</c:v>
                </c:pt>
              </c:numCache>
            </c:numRef>
          </c:cat>
          <c:val>
            <c:numRef>
              <c:f>'Input Data'!$E$2:$E$434</c:f>
              <c:numCache>
                <c:formatCode>0.00</c:formatCode>
                <c:ptCount val="433"/>
                <c:pt idx="0">
                  <c:v>22.68</c:v>
                </c:pt>
                <c:pt idx="1">
                  <c:v>19.41</c:v>
                </c:pt>
                <c:pt idx="2">
                  <c:v>18.399999999999999</c:v>
                </c:pt>
                <c:pt idx="3">
                  <c:v>19.350000000000001</c:v>
                </c:pt>
                <c:pt idx="4">
                  <c:v>20.05</c:v>
                </c:pt>
                <c:pt idx="5">
                  <c:v>18.88</c:v>
                </c:pt>
                <c:pt idx="6">
                  <c:v>19.87</c:v>
                </c:pt>
                <c:pt idx="7">
                  <c:v>20.5</c:v>
                </c:pt>
                <c:pt idx="8">
                  <c:v>20.51</c:v>
                </c:pt>
                <c:pt idx="9">
                  <c:v>21.51</c:v>
                </c:pt>
                <c:pt idx="10">
                  <c:v>21.26</c:v>
                </c:pt>
                <c:pt idx="11">
                  <c:v>18.28</c:v>
                </c:pt>
                <c:pt idx="12">
                  <c:v>17.21</c:v>
                </c:pt>
                <c:pt idx="13">
                  <c:v>17.84</c:v>
                </c:pt>
                <c:pt idx="14">
                  <c:v>17.399999999999999</c:v>
                </c:pt>
                <c:pt idx="15">
                  <c:v>18.43</c:v>
                </c:pt>
                <c:pt idx="16">
                  <c:v>19.16</c:v>
                </c:pt>
                <c:pt idx="17">
                  <c:v>20.83</c:v>
                </c:pt>
                <c:pt idx="18">
                  <c:v>20.21</c:v>
                </c:pt>
                <c:pt idx="19">
                  <c:v>19.809999999999999</c:v>
                </c:pt>
                <c:pt idx="20">
                  <c:v>20.28</c:v>
                </c:pt>
                <c:pt idx="21">
                  <c:v>20.13</c:v>
                </c:pt>
                <c:pt idx="22">
                  <c:v>18.739999999999998</c:v>
                </c:pt>
                <c:pt idx="23">
                  <c:v>17.809999999999999</c:v>
                </c:pt>
                <c:pt idx="24">
                  <c:v>17.5</c:v>
                </c:pt>
                <c:pt idx="25">
                  <c:v>18.48</c:v>
                </c:pt>
                <c:pt idx="26">
                  <c:v>18.73</c:v>
                </c:pt>
                <c:pt idx="27">
                  <c:v>18.62</c:v>
                </c:pt>
                <c:pt idx="28">
                  <c:v>18.260000000000002</c:v>
                </c:pt>
                <c:pt idx="29">
                  <c:v>17.260000000000002</c:v>
                </c:pt>
                <c:pt idx="30">
                  <c:v>15.94</c:v>
                </c:pt>
                <c:pt idx="31">
                  <c:v>16.100000000000001</c:v>
                </c:pt>
                <c:pt idx="32">
                  <c:v>15.58</c:v>
                </c:pt>
                <c:pt idx="33">
                  <c:v>16.309999999999999</c:v>
                </c:pt>
                <c:pt idx="34">
                  <c:v>14.84</c:v>
                </c:pt>
                <c:pt idx="35">
                  <c:v>12.6</c:v>
                </c:pt>
                <c:pt idx="36">
                  <c:v>13.08</c:v>
                </c:pt>
                <c:pt idx="37">
                  <c:v>12.73</c:v>
                </c:pt>
                <c:pt idx="38">
                  <c:v>12.8</c:v>
                </c:pt>
                <c:pt idx="39">
                  <c:v>14.47</c:v>
                </c:pt>
                <c:pt idx="40">
                  <c:v>16.329999999999998</c:v>
                </c:pt>
                <c:pt idx="41">
                  <c:v>17.54</c:v>
                </c:pt>
                <c:pt idx="42">
                  <c:v>18.05</c:v>
                </c:pt>
                <c:pt idx="43">
                  <c:v>16.489999999999998</c:v>
                </c:pt>
                <c:pt idx="44">
                  <c:v>15.48</c:v>
                </c:pt>
                <c:pt idx="45">
                  <c:v>15.78</c:v>
                </c:pt>
                <c:pt idx="46">
                  <c:v>16.190000000000001</c:v>
                </c:pt>
                <c:pt idx="47">
                  <c:v>15.23</c:v>
                </c:pt>
                <c:pt idx="48">
                  <c:v>16.13</c:v>
                </c:pt>
                <c:pt idx="49">
                  <c:v>16.88</c:v>
                </c:pt>
                <c:pt idx="50">
                  <c:v>16.62</c:v>
                </c:pt>
                <c:pt idx="51">
                  <c:v>17.93</c:v>
                </c:pt>
                <c:pt idx="52">
                  <c:v>17.670000000000002</c:v>
                </c:pt>
                <c:pt idx="53">
                  <c:v>16.48</c:v>
                </c:pt>
                <c:pt idx="54">
                  <c:v>15.26</c:v>
                </c:pt>
                <c:pt idx="55">
                  <c:v>16.03</c:v>
                </c:pt>
                <c:pt idx="56">
                  <c:v>16.3</c:v>
                </c:pt>
                <c:pt idx="57">
                  <c:v>15.45</c:v>
                </c:pt>
                <c:pt idx="58">
                  <c:v>16.02</c:v>
                </c:pt>
                <c:pt idx="59">
                  <c:v>17.23</c:v>
                </c:pt>
                <c:pt idx="60">
                  <c:v>17.100000000000001</c:v>
                </c:pt>
                <c:pt idx="61">
                  <c:v>16.96</c:v>
                </c:pt>
                <c:pt idx="62">
                  <c:v>19.329999999999998</c:v>
                </c:pt>
                <c:pt idx="63">
                  <c:v>21.52</c:v>
                </c:pt>
                <c:pt idx="64">
                  <c:v>19.27</c:v>
                </c:pt>
                <c:pt idx="65">
                  <c:v>18.579999999999998</c:v>
                </c:pt>
                <c:pt idx="66">
                  <c:v>19.45</c:v>
                </c:pt>
                <c:pt idx="67">
                  <c:v>20.09</c:v>
                </c:pt>
                <c:pt idx="68">
                  <c:v>21.98</c:v>
                </c:pt>
                <c:pt idx="69">
                  <c:v>23.06</c:v>
                </c:pt>
                <c:pt idx="70">
                  <c:v>21.73</c:v>
                </c:pt>
                <c:pt idx="71">
                  <c:v>23.13</c:v>
                </c:pt>
                <c:pt idx="72" formatCode="#,##0.00">
                  <c:v>23.23</c:v>
                </c:pt>
                <c:pt idx="73" formatCode="#,##0.00">
                  <c:v>20.21</c:v>
                </c:pt>
                <c:pt idx="74" formatCode="#,##0.00">
                  <c:v>18.82</c:v>
                </c:pt>
                <c:pt idx="75" formatCode="#,##0.00">
                  <c:v>17.73</c:v>
                </c:pt>
                <c:pt idx="76" formatCode="#,##0.00">
                  <c:v>18.71</c:v>
                </c:pt>
                <c:pt idx="77" formatCode="#,##0.00">
                  <c:v>16.91</c:v>
                </c:pt>
                <c:pt idx="78" formatCode="#,##0.00">
                  <c:v>17.27</c:v>
                </c:pt>
                <c:pt idx="79" formatCode="#,##0.00">
                  <c:v>17.5</c:v>
                </c:pt>
                <c:pt idx="80" formatCode="#,##0.00">
                  <c:v>17.38</c:v>
                </c:pt>
                <c:pt idx="81" formatCode="#,##0.00">
                  <c:v>18.91</c:v>
                </c:pt>
                <c:pt idx="82" formatCode="#,##0.00">
                  <c:v>17.73</c:v>
                </c:pt>
                <c:pt idx="83" formatCode="#,##0.00">
                  <c:v>15.94</c:v>
                </c:pt>
                <c:pt idx="84">
                  <c:v>14.29</c:v>
                </c:pt>
                <c:pt idx="85">
                  <c:v>13.62</c:v>
                </c:pt>
                <c:pt idx="86">
                  <c:v>12.48</c:v>
                </c:pt>
                <c:pt idx="87">
                  <c:v>12.88</c:v>
                </c:pt>
                <c:pt idx="88">
                  <c:v>12.27</c:v>
                </c:pt>
                <c:pt idx="89">
                  <c:v>10.78</c:v>
                </c:pt>
                <c:pt idx="90">
                  <c:v>11.24</c:v>
                </c:pt>
                <c:pt idx="91">
                  <c:v>10.63</c:v>
                </c:pt>
                <c:pt idx="92">
                  <c:v>12.13</c:v>
                </c:pt>
                <c:pt idx="93">
                  <c:v>11.62</c:v>
                </c:pt>
                <c:pt idx="94">
                  <c:v>10.09</c:v>
                </c:pt>
                <c:pt idx="95">
                  <c:v>8.35</c:v>
                </c:pt>
                <c:pt idx="96">
                  <c:v>9.6</c:v>
                </c:pt>
                <c:pt idx="97">
                  <c:v>9.0399999999999991</c:v>
                </c:pt>
                <c:pt idx="98">
                  <c:v>11.79</c:v>
                </c:pt>
                <c:pt idx="99">
                  <c:v>14.36</c:v>
                </c:pt>
                <c:pt idx="100">
                  <c:v>14.94</c:v>
                </c:pt>
                <c:pt idx="101">
                  <c:v>15.06</c:v>
                </c:pt>
                <c:pt idx="102">
                  <c:v>17.18</c:v>
                </c:pt>
                <c:pt idx="103">
                  <c:v>18.27</c:v>
                </c:pt>
                <c:pt idx="104">
                  <c:v>20.69</c:v>
                </c:pt>
                <c:pt idx="105" formatCode="General">
                  <c:v>19.649999999999999</c:v>
                </c:pt>
                <c:pt idx="106">
                  <c:v>21.99</c:v>
                </c:pt>
                <c:pt idx="107">
                  <c:v>22.96</c:v>
                </c:pt>
                <c:pt idx="108">
                  <c:v>23.83</c:v>
                </c:pt>
                <c:pt idx="109">
                  <c:v>26.29</c:v>
                </c:pt>
                <c:pt idx="110">
                  <c:v>26.94</c:v>
                </c:pt>
                <c:pt idx="111">
                  <c:v>22.49</c:v>
                </c:pt>
                <c:pt idx="112">
                  <c:v>25.81</c:v>
                </c:pt>
                <c:pt idx="113">
                  <c:v>28.324999999999999</c:v>
                </c:pt>
                <c:pt idx="114">
                  <c:v>26.9</c:v>
                </c:pt>
                <c:pt idx="115">
                  <c:v>27.98</c:v>
                </c:pt>
                <c:pt idx="116">
                  <c:v>30.61</c:v>
                </c:pt>
                <c:pt idx="117">
                  <c:v>29.71</c:v>
                </c:pt>
                <c:pt idx="118">
                  <c:v>31.2</c:v>
                </c:pt>
                <c:pt idx="119">
                  <c:v>25.14</c:v>
                </c:pt>
                <c:pt idx="120">
                  <c:v>26.15</c:v>
                </c:pt>
                <c:pt idx="121">
                  <c:v>26.46</c:v>
                </c:pt>
                <c:pt idx="122">
                  <c:v>23.97</c:v>
                </c:pt>
                <c:pt idx="123">
                  <c:v>24.18</c:v>
                </c:pt>
                <c:pt idx="124">
                  <c:v>25.27</c:v>
                </c:pt>
                <c:pt idx="125">
                  <c:v>24.13</c:v>
                </c:pt>
                <c:pt idx="126">
                  <c:v>23.06</c:v>
                </c:pt>
                <c:pt idx="127">
                  <c:v>23.83</c:v>
                </c:pt>
                <c:pt idx="128">
                  <c:v>22.8</c:v>
                </c:pt>
                <c:pt idx="129">
                  <c:v>18.73</c:v>
                </c:pt>
                <c:pt idx="130">
                  <c:v>16.2</c:v>
                </c:pt>
                <c:pt idx="131">
                  <c:v>15.95</c:v>
                </c:pt>
                <c:pt idx="132">
                  <c:v>16.21</c:v>
                </c:pt>
                <c:pt idx="133">
                  <c:v>17.29</c:v>
                </c:pt>
                <c:pt idx="134">
                  <c:v>20.98</c:v>
                </c:pt>
                <c:pt idx="135">
                  <c:v>22.61</c:v>
                </c:pt>
                <c:pt idx="136">
                  <c:v>23.45</c:v>
                </c:pt>
                <c:pt idx="137">
                  <c:v>22.074999999999999</c:v>
                </c:pt>
                <c:pt idx="138">
                  <c:v>23.44</c:v>
                </c:pt>
                <c:pt idx="139">
                  <c:v>24.6</c:v>
                </c:pt>
                <c:pt idx="140">
                  <c:v>26.16</c:v>
                </c:pt>
                <c:pt idx="141">
                  <c:v>25.36</c:v>
                </c:pt>
                <c:pt idx="142">
                  <c:v>22.76</c:v>
                </c:pt>
                <c:pt idx="143">
                  <c:v>25.93</c:v>
                </c:pt>
                <c:pt idx="144">
                  <c:v>29.25</c:v>
                </c:pt>
                <c:pt idx="145">
                  <c:v>32.11</c:v>
                </c:pt>
                <c:pt idx="146">
                  <c:v>29.7</c:v>
                </c:pt>
                <c:pt idx="147">
                  <c:v>24.73</c:v>
                </c:pt>
                <c:pt idx="148">
                  <c:v>24.59</c:v>
                </c:pt>
                <c:pt idx="149">
                  <c:v>26.96</c:v>
                </c:pt>
                <c:pt idx="150">
                  <c:v>27.23</c:v>
                </c:pt>
                <c:pt idx="151">
                  <c:v>28.1</c:v>
                </c:pt>
                <c:pt idx="152">
                  <c:v>24.82</c:v>
                </c:pt>
                <c:pt idx="153">
                  <c:v>26.93</c:v>
                </c:pt>
                <c:pt idx="154">
                  <c:v>27.4</c:v>
                </c:pt>
                <c:pt idx="155">
                  <c:v>28.71</c:v>
                </c:pt>
                <c:pt idx="156">
                  <c:v>30.55</c:v>
                </c:pt>
                <c:pt idx="157">
                  <c:v>30.94</c:v>
                </c:pt>
                <c:pt idx="158">
                  <c:v>33.22</c:v>
                </c:pt>
                <c:pt idx="159">
                  <c:v>33.07</c:v>
                </c:pt>
                <c:pt idx="160">
                  <c:v>36.520000000000003</c:v>
                </c:pt>
                <c:pt idx="161">
                  <c:v>34.6</c:v>
                </c:pt>
                <c:pt idx="162">
                  <c:v>37.159999999999997</c:v>
                </c:pt>
                <c:pt idx="163">
                  <c:v>41.42</c:v>
                </c:pt>
                <c:pt idx="164">
                  <c:v>42.13</c:v>
                </c:pt>
                <c:pt idx="165">
                  <c:v>49.56</c:v>
                </c:pt>
                <c:pt idx="166">
                  <c:v>45.024999999999999</c:v>
                </c:pt>
                <c:pt idx="167">
                  <c:v>39.78</c:v>
                </c:pt>
                <c:pt idx="168">
                  <c:v>43.22</c:v>
                </c:pt>
                <c:pt idx="169">
                  <c:v>44.57</c:v>
                </c:pt>
                <c:pt idx="170">
                  <c:v>51.14</c:v>
                </c:pt>
                <c:pt idx="171">
                  <c:v>49.74</c:v>
                </c:pt>
                <c:pt idx="172">
                  <c:v>46</c:v>
                </c:pt>
                <c:pt idx="173">
                  <c:v>52.64</c:v>
                </c:pt>
                <c:pt idx="174">
                  <c:v>55.15</c:v>
                </c:pt>
                <c:pt idx="175">
                  <c:v>61.15</c:v>
                </c:pt>
                <c:pt idx="176">
                  <c:v>61.5</c:v>
                </c:pt>
                <c:pt idx="177">
                  <c:v>58.44</c:v>
                </c:pt>
                <c:pt idx="178">
                  <c:v>54.39</c:v>
                </c:pt>
                <c:pt idx="179">
                  <c:v>55.37</c:v>
                </c:pt>
                <c:pt idx="180">
                  <c:v>61.4</c:v>
                </c:pt>
                <c:pt idx="181">
                  <c:v>57.97</c:v>
                </c:pt>
                <c:pt idx="182">
                  <c:v>58.95</c:v>
                </c:pt>
                <c:pt idx="183">
                  <c:v>66.209999999999994</c:v>
                </c:pt>
                <c:pt idx="184">
                  <c:v>66.930000000000007</c:v>
                </c:pt>
                <c:pt idx="185">
                  <c:v>67.14</c:v>
                </c:pt>
                <c:pt idx="186">
                  <c:v>70.540000000000006</c:v>
                </c:pt>
                <c:pt idx="187">
                  <c:v>69.23</c:v>
                </c:pt>
                <c:pt idx="188">
                  <c:v>60.38</c:v>
                </c:pt>
                <c:pt idx="189">
                  <c:v>55.34</c:v>
                </c:pt>
                <c:pt idx="190">
                  <c:v>55.2333</c:v>
                </c:pt>
                <c:pt idx="191">
                  <c:v>58.32</c:v>
                </c:pt>
                <c:pt idx="192">
                  <c:v>50.781999999999996</c:v>
                </c:pt>
                <c:pt idx="193">
                  <c:v>55.62</c:v>
                </c:pt>
                <c:pt idx="194">
                  <c:v>56.895200000000003</c:v>
                </c:pt>
                <c:pt idx="195">
                  <c:v>60.325000000000003</c:v>
                </c:pt>
                <c:pt idx="196">
                  <c:v>55.62</c:v>
                </c:pt>
                <c:pt idx="197">
                  <c:v>63.5</c:v>
                </c:pt>
                <c:pt idx="198">
                  <c:v>70.22</c:v>
                </c:pt>
                <c:pt idx="199">
                  <c:v>68.48</c:v>
                </c:pt>
                <c:pt idx="200">
                  <c:v>75.19</c:v>
                </c:pt>
                <c:pt idx="201">
                  <c:v>81.86</c:v>
                </c:pt>
                <c:pt idx="202">
                  <c:v>91.16</c:v>
                </c:pt>
                <c:pt idx="203">
                  <c:v>87.71</c:v>
                </c:pt>
                <c:pt idx="204">
                  <c:v>89.45</c:v>
                </c:pt>
                <c:pt idx="205">
                  <c:v>90.89</c:v>
                </c:pt>
                <c:pt idx="206">
                  <c:v>101.14</c:v>
                </c:pt>
                <c:pt idx="207">
                  <c:v>108.56</c:v>
                </c:pt>
                <c:pt idx="208">
                  <c:v>121.65</c:v>
                </c:pt>
                <c:pt idx="209">
                  <c:v>130.57</c:v>
                </c:pt>
                <c:pt idx="210">
                  <c:v>130.41</c:v>
                </c:pt>
                <c:pt idx="211">
                  <c:v>112.72</c:v>
                </c:pt>
                <c:pt idx="212">
                  <c:v>100.38</c:v>
                </c:pt>
                <c:pt idx="213">
                  <c:v>72.75</c:v>
                </c:pt>
                <c:pt idx="214">
                  <c:v>53.54</c:v>
                </c:pt>
                <c:pt idx="215">
                  <c:v>37.185499999999998</c:v>
                </c:pt>
                <c:pt idx="216">
                  <c:v>37.950000000000003</c:v>
                </c:pt>
                <c:pt idx="217">
                  <c:v>35.380000000000003</c:v>
                </c:pt>
                <c:pt idx="218">
                  <c:v>44.11</c:v>
                </c:pt>
                <c:pt idx="219">
                  <c:v>46.43</c:v>
                </c:pt>
                <c:pt idx="220">
                  <c:v>55.27</c:v>
                </c:pt>
                <c:pt idx="221">
                  <c:v>65.7</c:v>
                </c:pt>
                <c:pt idx="222">
                  <c:v>60.41</c:v>
                </c:pt>
                <c:pt idx="223">
                  <c:v>67.05</c:v>
                </c:pt>
                <c:pt idx="224">
                  <c:v>65.23</c:v>
                </c:pt>
                <c:pt idx="225">
                  <c:v>71.67</c:v>
                </c:pt>
                <c:pt idx="226">
                  <c:v>73.67</c:v>
                </c:pt>
                <c:pt idx="227">
                  <c:v>70.569999999999993</c:v>
                </c:pt>
                <c:pt idx="228">
                  <c:v>74.069999999999993</c:v>
                </c:pt>
                <c:pt idx="229">
                  <c:v>72.28</c:v>
                </c:pt>
                <c:pt idx="230">
                  <c:v>77.150000000000006</c:v>
                </c:pt>
                <c:pt idx="231">
                  <c:v>80.5</c:v>
                </c:pt>
                <c:pt idx="232">
                  <c:v>70.510000000000005</c:v>
                </c:pt>
                <c:pt idx="233">
                  <c:v>71.36</c:v>
                </c:pt>
                <c:pt idx="234">
                  <c:v>72.150000000000006</c:v>
                </c:pt>
                <c:pt idx="235">
                  <c:v>72.59</c:v>
                </c:pt>
                <c:pt idx="236">
                  <c:v>71.41</c:v>
                </c:pt>
                <c:pt idx="237">
                  <c:v>77.89</c:v>
                </c:pt>
                <c:pt idx="238">
                  <c:v>80.239999999999995</c:v>
                </c:pt>
                <c:pt idx="239">
                  <c:v>85.25</c:v>
                </c:pt>
                <c:pt idx="240">
                  <c:v>85.69</c:v>
                </c:pt>
                <c:pt idx="241">
                  <c:v>85.59</c:v>
                </c:pt>
                <c:pt idx="242">
                  <c:v>98.99</c:v>
                </c:pt>
                <c:pt idx="243">
                  <c:v>106.38</c:v>
                </c:pt>
                <c:pt idx="244">
                  <c:v>97.15</c:v>
                </c:pt>
                <c:pt idx="245">
                  <c:v>92.18</c:v>
                </c:pt>
                <c:pt idx="246">
                  <c:v>93.06</c:v>
                </c:pt>
                <c:pt idx="247">
                  <c:v>81.95</c:v>
                </c:pt>
                <c:pt idx="248">
                  <c:v>81.569999999999993</c:v>
                </c:pt>
                <c:pt idx="249">
                  <c:v>83.23</c:v>
                </c:pt>
                <c:pt idx="250">
                  <c:v>96.88</c:v>
                </c:pt>
                <c:pt idx="251">
                  <c:v>98.55</c:v>
                </c:pt>
                <c:pt idx="252">
                  <c:v>98.71</c:v>
                </c:pt>
                <c:pt idx="253">
                  <c:v>100.8</c:v>
                </c:pt>
                <c:pt idx="254">
                  <c:v>104.81</c:v>
                </c:pt>
                <c:pt idx="255">
                  <c:v>102.62</c:v>
                </c:pt>
                <c:pt idx="256">
                  <c:v>93.44</c:v>
                </c:pt>
                <c:pt idx="257">
                  <c:v>81.319999999999993</c:v>
                </c:pt>
                <c:pt idx="258">
                  <c:v>86.69</c:v>
                </c:pt>
                <c:pt idx="259">
                  <c:v>92.88</c:v>
                </c:pt>
                <c:pt idx="260">
                  <c:v>93.63</c:v>
                </c:pt>
                <c:pt idx="261">
                  <c:v>88.26</c:v>
                </c:pt>
                <c:pt idx="262">
                  <c:v>85.41</c:v>
                </c:pt>
                <c:pt idx="263">
                  <c:v>86.96</c:v>
                </c:pt>
                <c:pt idx="264">
                  <c:v>93.37</c:v>
                </c:pt>
                <c:pt idx="265">
                  <c:v>94.15</c:v>
                </c:pt>
                <c:pt idx="266">
                  <c:v>91.98</c:v>
                </c:pt>
                <c:pt idx="267">
                  <c:v>90.59</c:v>
                </c:pt>
                <c:pt idx="268">
                  <c:v>93.68</c:v>
                </c:pt>
                <c:pt idx="269">
                  <c:v>93.56</c:v>
                </c:pt>
                <c:pt idx="270">
                  <c:v>102.27</c:v>
                </c:pt>
                <c:pt idx="271">
                  <c:v>103.44</c:v>
                </c:pt>
                <c:pt idx="272">
                  <c:v>102.38</c:v>
                </c:pt>
                <c:pt idx="273">
                  <c:v>96.19</c:v>
                </c:pt>
                <c:pt idx="274">
                  <c:v>89.13</c:v>
                </c:pt>
                <c:pt idx="275">
                  <c:v>91.65</c:v>
                </c:pt>
                <c:pt idx="276">
                  <c:v>88.56</c:v>
                </c:pt>
                <c:pt idx="277">
                  <c:v>94.18</c:v>
                </c:pt>
                <c:pt idx="278">
                  <c:v>95.22</c:v>
                </c:pt>
                <c:pt idx="279">
                  <c:v>96.94</c:v>
                </c:pt>
                <c:pt idx="280">
                  <c:v>95.06</c:v>
                </c:pt>
                <c:pt idx="281">
                  <c:v>97.93</c:v>
                </c:pt>
                <c:pt idx="282">
                  <c:v>95.2</c:v>
                </c:pt>
                <c:pt idx="283">
                  <c:v>88.93</c:v>
                </c:pt>
                <c:pt idx="284">
                  <c:v>85.83</c:v>
                </c:pt>
                <c:pt idx="285">
                  <c:v>77.19</c:v>
                </c:pt>
                <c:pt idx="286">
                  <c:v>68.39</c:v>
                </c:pt>
                <c:pt idx="287">
                  <c:v>51.74</c:v>
                </c:pt>
                <c:pt idx="288">
                  <c:v>40.78</c:v>
                </c:pt>
                <c:pt idx="289">
                  <c:v>44.34</c:v>
                </c:pt>
                <c:pt idx="290">
                  <c:v>41.23</c:v>
                </c:pt>
                <c:pt idx="291">
                  <c:v>47.58</c:v>
                </c:pt>
                <c:pt idx="292">
                  <c:v>52.95</c:v>
                </c:pt>
                <c:pt idx="293">
                  <c:v>53.22</c:v>
                </c:pt>
                <c:pt idx="294">
                  <c:v>44.91</c:v>
                </c:pt>
                <c:pt idx="295">
                  <c:v>36.68</c:v>
                </c:pt>
                <c:pt idx="296">
                  <c:v>38.92</c:v>
                </c:pt>
                <c:pt idx="297">
                  <c:v>39.869999999999997</c:v>
                </c:pt>
                <c:pt idx="298">
                  <c:v>36.26</c:v>
                </c:pt>
                <c:pt idx="299">
                  <c:v>31.69</c:v>
                </c:pt>
                <c:pt idx="300">
                  <c:v>26.78</c:v>
                </c:pt>
                <c:pt idx="301">
                  <c:v>25.09</c:v>
                </c:pt>
                <c:pt idx="302">
                  <c:v>32.619999999999997</c:v>
                </c:pt>
                <c:pt idx="303">
                  <c:v>35.520000000000003</c:v>
                </c:pt>
                <c:pt idx="304">
                  <c:v>41.4</c:v>
                </c:pt>
                <c:pt idx="305">
                  <c:v>43.15</c:v>
                </c:pt>
                <c:pt idx="306">
                  <c:v>39.56</c:v>
                </c:pt>
                <c:pt idx="307">
                  <c:v>39</c:v>
                </c:pt>
                <c:pt idx="308">
                  <c:v>39</c:v>
                </c:pt>
                <c:pt idx="309">
                  <c:v>43.79</c:v>
                </c:pt>
                <c:pt idx="310">
                  <c:v>39.520000000000003</c:v>
                </c:pt>
                <c:pt idx="311">
                  <c:v>46.11</c:v>
                </c:pt>
                <c:pt idx="312">
                  <c:v>46.73</c:v>
                </c:pt>
                <c:pt idx="313">
                  <c:v>47.54</c:v>
                </c:pt>
                <c:pt idx="314">
                  <c:v>43.65</c:v>
                </c:pt>
                <c:pt idx="315">
                  <c:v>45.11</c:v>
                </c:pt>
                <c:pt idx="316">
                  <c:v>42.55</c:v>
                </c:pt>
                <c:pt idx="317">
                  <c:v>39.200000000000003</c:v>
                </c:pt>
                <c:pt idx="318">
                  <c:v>40.4</c:v>
                </c:pt>
                <c:pt idx="319">
                  <c:v>41.93</c:v>
                </c:pt>
                <c:pt idx="320">
                  <c:v>43.31</c:v>
                </c:pt>
                <c:pt idx="321">
                  <c:v>45.3</c:v>
                </c:pt>
                <c:pt idx="322">
                  <c:v>50.53</c:v>
                </c:pt>
                <c:pt idx="323">
                  <c:v>51.85</c:v>
                </c:pt>
                <c:pt idx="324">
                  <c:v>57.36</c:v>
                </c:pt>
                <c:pt idx="325">
                  <c:v>55.97</c:v>
                </c:pt>
                <c:pt idx="326">
                  <c:v>56.69</c:v>
                </c:pt>
                <c:pt idx="327">
                  <c:v>60.05</c:v>
                </c:pt>
                <c:pt idx="328">
                  <c:v>63.62</c:v>
                </c:pt>
                <c:pt idx="329">
                  <c:v>61</c:v>
                </c:pt>
                <c:pt idx="330">
                  <c:v>64.64</c:v>
                </c:pt>
                <c:pt idx="331">
                  <c:v>61.54</c:v>
                </c:pt>
                <c:pt idx="332">
                  <c:v>63.81</c:v>
                </c:pt>
                <c:pt idx="333">
                  <c:v>64.459999999999994</c:v>
                </c:pt>
                <c:pt idx="334">
                  <c:v>50.59</c:v>
                </c:pt>
                <c:pt idx="335">
                  <c:v>42.57</c:v>
                </c:pt>
                <c:pt idx="336">
                  <c:v>45.22</c:v>
                </c:pt>
                <c:pt idx="337">
                  <c:v>48.79</c:v>
                </c:pt>
                <c:pt idx="338">
                  <c:v>51.82</c:v>
                </c:pt>
                <c:pt idx="339">
                  <c:v>57.53</c:v>
                </c:pt>
                <c:pt idx="340">
                  <c:v>54.63</c:v>
                </c:pt>
                <c:pt idx="341">
                  <c:v>48.59</c:v>
                </c:pt>
                <c:pt idx="342">
                  <c:v>51.23</c:v>
                </c:pt>
                <c:pt idx="343">
                  <c:v>48.58</c:v>
                </c:pt>
                <c:pt idx="344">
                  <c:v>50.424999999999997</c:v>
                </c:pt>
                <c:pt idx="345">
                  <c:v>47.86</c:v>
                </c:pt>
                <c:pt idx="346">
                  <c:v>50.83</c:v>
                </c:pt>
                <c:pt idx="347">
                  <c:v>53.56</c:v>
                </c:pt>
                <c:pt idx="348">
                  <c:v>51.71</c:v>
                </c:pt>
                <c:pt idx="349">
                  <c:v>44.47</c:v>
                </c:pt>
                <c:pt idx="350">
                  <c:v>24.33</c:v>
                </c:pt>
                <c:pt idx="351">
                  <c:v>11.93</c:v>
                </c:pt>
                <c:pt idx="352">
                  <c:v>22.42</c:v>
                </c:pt>
                <c:pt idx="353">
                  <c:v>32.1</c:v>
                </c:pt>
                <c:pt idx="354">
                  <c:v>34.5</c:v>
                </c:pt>
                <c:pt idx="355">
                  <c:v>35.93</c:v>
                </c:pt>
                <c:pt idx="356">
                  <c:v>33.35</c:v>
                </c:pt>
                <c:pt idx="357">
                  <c:v>33.19</c:v>
                </c:pt>
                <c:pt idx="358">
                  <c:v>35</c:v>
                </c:pt>
                <c:pt idx="359">
                  <c:v>40.959699999999998</c:v>
                </c:pt>
                <c:pt idx="360">
                  <c:v>45.53</c:v>
                </c:pt>
                <c:pt idx="361">
                  <c:v>52.857100000000003</c:v>
                </c:pt>
                <c:pt idx="362">
                  <c:v>56.378999999999998</c:v>
                </c:pt>
                <c:pt idx="363">
                  <c:v>55.357999999999997</c:v>
                </c:pt>
                <c:pt idx="364">
                  <c:v>58.8065</c:v>
                </c:pt>
                <c:pt idx="365">
                  <c:v>65.125</c:v>
                </c:pt>
                <c:pt idx="366">
                  <c:v>66.5565</c:v>
                </c:pt>
                <c:pt idx="367">
                  <c:v>61.459699999999998</c:v>
                </c:pt>
                <c:pt idx="368">
                  <c:v>65.125</c:v>
                </c:pt>
                <c:pt idx="369">
                  <c:v>74.862899999999996</c:v>
                </c:pt>
                <c:pt idx="370">
                  <c:v>71.833299999999994</c:v>
                </c:pt>
                <c:pt idx="371">
                  <c:v>65.209699999999998</c:v>
                </c:pt>
                <c:pt idx="372">
                  <c:v>76.674999999999997</c:v>
                </c:pt>
                <c:pt idx="373">
                  <c:v>85.367999999999995</c:v>
                </c:pt>
                <c:pt idx="374">
                  <c:v>102.6613</c:v>
                </c:pt>
                <c:pt idx="375">
                  <c:v>95.36</c:v>
                </c:pt>
                <c:pt idx="376">
                  <c:v>103.76609999999999</c:v>
                </c:pt>
                <c:pt idx="377">
                  <c:v>107.85</c:v>
                </c:pt>
                <c:pt idx="378">
                  <c:v>93.887100000000004</c:v>
                </c:pt>
                <c:pt idx="379">
                  <c:v>85.161299999999997</c:v>
                </c:pt>
                <c:pt idx="380">
                  <c:v>77.7667</c:v>
                </c:pt>
                <c:pt idx="381">
                  <c:v>80.516099999999994</c:v>
                </c:pt>
                <c:pt idx="382">
                  <c:v>77.808300000000003</c:v>
                </c:pt>
                <c:pt idx="383">
                  <c:v>70.411299999999997</c:v>
                </c:pt>
                <c:pt idx="384">
                  <c:v>72.201599999999999</c:v>
                </c:pt>
                <c:pt idx="385">
                  <c:v>70.428600000000003</c:v>
                </c:pt>
                <c:pt idx="386">
                  <c:v>67.02</c:v>
                </c:pt>
                <c:pt idx="387">
                  <c:v>72.966700000000003</c:v>
                </c:pt>
                <c:pt idx="388">
                  <c:v>65.346800000000002</c:v>
                </c:pt>
                <c:pt idx="389">
                  <c:v>64.150000000000006</c:v>
                </c:pt>
                <c:pt idx="390">
                  <c:v>69.379000000000005</c:v>
                </c:pt>
                <c:pt idx="391">
                  <c:v>75.153199999999998</c:v>
                </c:pt>
                <c:pt idx="392">
                  <c:v>82.825000000000003</c:v>
                </c:pt>
                <c:pt idx="393">
                  <c:v>79.548400000000001</c:v>
                </c:pt>
                <c:pt idx="394">
                  <c:v>71.066699999999997</c:v>
                </c:pt>
                <c:pt idx="395">
                  <c:v>65.983900000000006</c:v>
                </c:pt>
                <c:pt idx="396">
                  <c:v>67.629000000000005</c:v>
                </c:pt>
                <c:pt idx="397">
                  <c:v>70.301699999999997</c:v>
                </c:pt>
                <c:pt idx="398">
                  <c:v>74.274199999999993</c:v>
                </c:pt>
                <c:pt idx="399">
                  <c:v>78.258300000000006</c:v>
                </c:pt>
                <c:pt idx="400">
                  <c:v>72.314499999999995</c:v>
                </c:pt>
                <c:pt idx="401">
                  <c:v>72.525000000000006</c:v>
                </c:pt>
                <c:pt idx="402">
                  <c:v>74.403199999999998</c:v>
                </c:pt>
                <c:pt idx="403">
                  <c:v>69.112899999999996</c:v>
                </c:pt>
                <c:pt idx="404">
                  <c:v>63.333300000000001</c:v>
                </c:pt>
                <c:pt idx="405">
                  <c:v>65.596800000000002</c:v>
                </c:pt>
                <c:pt idx="406">
                  <c:v>63.191699999999997</c:v>
                </c:pt>
                <c:pt idx="407">
                  <c:v>63.378999999999998</c:v>
                </c:pt>
                <c:pt idx="408">
                  <c:v>68.983900000000006</c:v>
                </c:pt>
                <c:pt idx="409">
                  <c:v>64.919600000000003</c:v>
                </c:pt>
                <c:pt idx="410">
                  <c:v>61.790300000000002</c:v>
                </c:pt>
                <c:pt idx="411">
                  <c:v>56.691699999999997</c:v>
                </c:pt>
                <c:pt idx="412">
                  <c:v>54.661299999999997</c:v>
                </c:pt>
                <c:pt idx="413">
                  <c:v>61.674999999999997</c:v>
                </c:pt>
                <c:pt idx="414">
                  <c:v>60.862900000000003</c:v>
                </c:pt>
                <c:pt idx="415">
                  <c:v>57.862900000000003</c:v>
                </c:pt>
                <c:pt idx="416">
                  <c:v>57.208300000000001</c:v>
                </c:pt>
                <c:pt idx="417">
                  <c:v>53.709699999999998</c:v>
                </c:pt>
                <c:pt idx="418">
                  <c:v>53.183300000000003</c:v>
                </c:pt>
                <c:pt idx="419">
                  <c:v>51.580599999999997</c:v>
                </c:pt>
                <c:pt idx="420">
                  <c:v>53.7742</c:v>
                </c:pt>
                <c:pt idx="421">
                  <c:v>58.258899999999997</c:v>
                </c:pt>
                <c:pt idx="422">
                  <c:v>85.477400000000003</c:v>
                </c:pt>
                <c:pt idx="423">
                  <c:v>91.85</c:v>
                </c:pt>
                <c:pt idx="424">
                  <c:v>91.822599999999994</c:v>
                </c:pt>
                <c:pt idx="425">
                  <c:v>74.958299999999994</c:v>
                </c:pt>
                <c:pt idx="426">
                  <c:v>72.298400000000001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42-4461-A934-9167089DA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067056"/>
        <c:axId val="334053936"/>
      </c:lineChart>
      <c:dateAx>
        <c:axId val="567540064"/>
        <c:scaling>
          <c:orientation val="minMax"/>
          <c:max val="46388"/>
          <c:min val="3798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40392"/>
        <c:crosses val="autoZero"/>
        <c:auto val="1"/>
        <c:lblOffset val="100"/>
        <c:baseTimeUnit val="months"/>
        <c:majorUnit val="12"/>
        <c:majorTimeUnit val="months"/>
      </c:dateAx>
      <c:valAx>
        <c:axId val="567540392"/>
        <c:scaling>
          <c:orientation val="minMax"/>
          <c:min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Disposal</a:t>
                </a:r>
                <a:r>
                  <a:rPr lang="en-US" baseline="0"/>
                  <a:t> Volume BPD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40064"/>
        <c:crosses val="autoZero"/>
        <c:crossBetween val="between"/>
      </c:valAx>
      <c:valAx>
        <c:axId val="334053936"/>
        <c:scaling>
          <c:orientation val="minMax"/>
          <c:max val="18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East</a:t>
                </a:r>
                <a:r>
                  <a:rPr lang="en-US" baseline="0"/>
                  <a:t> Texas Sweet (Sunoco) $/BBL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67056"/>
        <c:crosses val="max"/>
        <c:crossBetween val="between"/>
      </c:valAx>
      <c:dateAx>
        <c:axId val="33406705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33405393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050282284932566"/>
          <c:y val="0.88386418251995491"/>
          <c:w val="0.3044086141710915"/>
          <c:h val="2.731742211251213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ETSWD Monthly</a:t>
            </a:r>
            <a:r>
              <a:rPr lang="en-US" baseline="0"/>
              <a:t> Disposal BPD vs. Monthly Shortfall BBL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Salt Water BPD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340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A3F-4647-A82A-78F8904650DE}"/>
              </c:ext>
            </c:extLst>
          </c:dPt>
          <c:cat>
            <c:numRef>
              <c:f>'Input Data'!$A$2:$A$434</c:f>
              <c:numCache>
                <c:formatCode>[$-409]mmm\-yy;@</c:formatCode>
                <c:ptCount val="433"/>
                <c:pt idx="0">
                  <c:v>33239</c:v>
                </c:pt>
                <c:pt idx="1">
                  <c:v>33270</c:v>
                </c:pt>
                <c:pt idx="2">
                  <c:v>33298</c:v>
                </c:pt>
                <c:pt idx="3">
                  <c:v>33329</c:v>
                </c:pt>
                <c:pt idx="4">
                  <c:v>33359</c:v>
                </c:pt>
                <c:pt idx="5">
                  <c:v>33390</c:v>
                </c:pt>
                <c:pt idx="6">
                  <c:v>33420</c:v>
                </c:pt>
                <c:pt idx="7">
                  <c:v>33451</c:v>
                </c:pt>
                <c:pt idx="8">
                  <c:v>33482</c:v>
                </c:pt>
                <c:pt idx="9">
                  <c:v>33512</c:v>
                </c:pt>
                <c:pt idx="10">
                  <c:v>33543</c:v>
                </c:pt>
                <c:pt idx="11">
                  <c:v>33573</c:v>
                </c:pt>
                <c:pt idx="12">
                  <c:v>33604</c:v>
                </c:pt>
                <c:pt idx="13">
                  <c:v>33635</c:v>
                </c:pt>
                <c:pt idx="14">
                  <c:v>33664</c:v>
                </c:pt>
                <c:pt idx="15">
                  <c:v>33695</c:v>
                </c:pt>
                <c:pt idx="16">
                  <c:v>33725</c:v>
                </c:pt>
                <c:pt idx="17">
                  <c:v>33756</c:v>
                </c:pt>
                <c:pt idx="18">
                  <c:v>33786</c:v>
                </c:pt>
                <c:pt idx="19">
                  <c:v>33817</c:v>
                </c:pt>
                <c:pt idx="20">
                  <c:v>33848</c:v>
                </c:pt>
                <c:pt idx="21">
                  <c:v>33878</c:v>
                </c:pt>
                <c:pt idx="22">
                  <c:v>33909</c:v>
                </c:pt>
                <c:pt idx="23">
                  <c:v>33939</c:v>
                </c:pt>
                <c:pt idx="24">
                  <c:v>33970</c:v>
                </c:pt>
                <c:pt idx="25">
                  <c:v>34001</c:v>
                </c:pt>
                <c:pt idx="26">
                  <c:v>34029</c:v>
                </c:pt>
                <c:pt idx="27">
                  <c:v>34060</c:v>
                </c:pt>
                <c:pt idx="28">
                  <c:v>34090</c:v>
                </c:pt>
                <c:pt idx="29">
                  <c:v>34121</c:v>
                </c:pt>
                <c:pt idx="30">
                  <c:v>34151</c:v>
                </c:pt>
                <c:pt idx="31">
                  <c:v>34182</c:v>
                </c:pt>
                <c:pt idx="32">
                  <c:v>34213</c:v>
                </c:pt>
                <c:pt idx="33">
                  <c:v>34243</c:v>
                </c:pt>
                <c:pt idx="34">
                  <c:v>34274</c:v>
                </c:pt>
                <c:pt idx="35">
                  <c:v>34304</c:v>
                </c:pt>
                <c:pt idx="36">
                  <c:v>34335</c:v>
                </c:pt>
                <c:pt idx="37">
                  <c:v>34366</c:v>
                </c:pt>
                <c:pt idx="38">
                  <c:v>34394</c:v>
                </c:pt>
                <c:pt idx="39">
                  <c:v>34425</c:v>
                </c:pt>
                <c:pt idx="40">
                  <c:v>34455</c:v>
                </c:pt>
                <c:pt idx="41">
                  <c:v>34486</c:v>
                </c:pt>
                <c:pt idx="42">
                  <c:v>34516</c:v>
                </c:pt>
                <c:pt idx="43">
                  <c:v>34547</c:v>
                </c:pt>
                <c:pt idx="44">
                  <c:v>34578</c:v>
                </c:pt>
                <c:pt idx="45">
                  <c:v>34608</c:v>
                </c:pt>
                <c:pt idx="46">
                  <c:v>34639</c:v>
                </c:pt>
                <c:pt idx="47">
                  <c:v>34669</c:v>
                </c:pt>
                <c:pt idx="48">
                  <c:v>34700</c:v>
                </c:pt>
                <c:pt idx="49">
                  <c:v>34731</c:v>
                </c:pt>
                <c:pt idx="50">
                  <c:v>34759</c:v>
                </c:pt>
                <c:pt idx="51">
                  <c:v>34790</c:v>
                </c:pt>
                <c:pt idx="52">
                  <c:v>34820</c:v>
                </c:pt>
                <c:pt idx="53">
                  <c:v>34851</c:v>
                </c:pt>
                <c:pt idx="54">
                  <c:v>34881</c:v>
                </c:pt>
                <c:pt idx="55">
                  <c:v>34912</c:v>
                </c:pt>
                <c:pt idx="56">
                  <c:v>34943</c:v>
                </c:pt>
                <c:pt idx="57">
                  <c:v>34973</c:v>
                </c:pt>
                <c:pt idx="58">
                  <c:v>35004</c:v>
                </c:pt>
                <c:pt idx="59">
                  <c:v>35034</c:v>
                </c:pt>
                <c:pt idx="60">
                  <c:v>35065</c:v>
                </c:pt>
                <c:pt idx="61">
                  <c:v>35096</c:v>
                </c:pt>
                <c:pt idx="62">
                  <c:v>35125</c:v>
                </c:pt>
                <c:pt idx="63">
                  <c:v>35156</c:v>
                </c:pt>
                <c:pt idx="64">
                  <c:v>35186</c:v>
                </c:pt>
                <c:pt idx="65">
                  <c:v>35217</c:v>
                </c:pt>
                <c:pt idx="66">
                  <c:v>35247</c:v>
                </c:pt>
                <c:pt idx="67">
                  <c:v>35278</c:v>
                </c:pt>
                <c:pt idx="68">
                  <c:v>35309</c:v>
                </c:pt>
                <c:pt idx="69">
                  <c:v>35339</c:v>
                </c:pt>
                <c:pt idx="70">
                  <c:v>35370</c:v>
                </c:pt>
                <c:pt idx="71">
                  <c:v>35400</c:v>
                </c:pt>
                <c:pt idx="72">
                  <c:v>35431</c:v>
                </c:pt>
                <c:pt idx="73">
                  <c:v>35462</c:v>
                </c:pt>
                <c:pt idx="74">
                  <c:v>35490</c:v>
                </c:pt>
                <c:pt idx="75">
                  <c:v>35521</c:v>
                </c:pt>
                <c:pt idx="76">
                  <c:v>35551</c:v>
                </c:pt>
                <c:pt idx="77">
                  <c:v>35582</c:v>
                </c:pt>
                <c:pt idx="78">
                  <c:v>35612</c:v>
                </c:pt>
                <c:pt idx="79">
                  <c:v>35643</c:v>
                </c:pt>
                <c:pt idx="80">
                  <c:v>35674</c:v>
                </c:pt>
                <c:pt idx="81">
                  <c:v>35704</c:v>
                </c:pt>
                <c:pt idx="82">
                  <c:v>35735</c:v>
                </c:pt>
                <c:pt idx="83">
                  <c:v>35765</c:v>
                </c:pt>
                <c:pt idx="84">
                  <c:v>35796</c:v>
                </c:pt>
                <c:pt idx="85">
                  <c:v>35827</c:v>
                </c:pt>
                <c:pt idx="86">
                  <c:v>35855</c:v>
                </c:pt>
                <c:pt idx="87">
                  <c:v>35886</c:v>
                </c:pt>
                <c:pt idx="88">
                  <c:v>35916</c:v>
                </c:pt>
                <c:pt idx="89">
                  <c:v>35947</c:v>
                </c:pt>
                <c:pt idx="90">
                  <c:v>35977</c:v>
                </c:pt>
                <c:pt idx="91">
                  <c:v>36008</c:v>
                </c:pt>
                <c:pt idx="92">
                  <c:v>36039</c:v>
                </c:pt>
                <c:pt idx="93">
                  <c:v>36069</c:v>
                </c:pt>
                <c:pt idx="94">
                  <c:v>36100</c:v>
                </c:pt>
                <c:pt idx="95">
                  <c:v>36130</c:v>
                </c:pt>
                <c:pt idx="96">
                  <c:v>36161</c:v>
                </c:pt>
                <c:pt idx="97">
                  <c:v>36192</c:v>
                </c:pt>
                <c:pt idx="98">
                  <c:v>36220</c:v>
                </c:pt>
                <c:pt idx="99">
                  <c:v>36251</c:v>
                </c:pt>
                <c:pt idx="100">
                  <c:v>36281</c:v>
                </c:pt>
                <c:pt idx="101">
                  <c:v>36312</c:v>
                </c:pt>
                <c:pt idx="102">
                  <c:v>36342</c:v>
                </c:pt>
                <c:pt idx="103">
                  <c:v>36373</c:v>
                </c:pt>
                <c:pt idx="104">
                  <c:v>36404</c:v>
                </c:pt>
                <c:pt idx="105">
                  <c:v>36434</c:v>
                </c:pt>
                <c:pt idx="106">
                  <c:v>36465</c:v>
                </c:pt>
                <c:pt idx="107">
                  <c:v>36495</c:v>
                </c:pt>
                <c:pt idx="108">
                  <c:v>36526</c:v>
                </c:pt>
                <c:pt idx="109">
                  <c:v>36557</c:v>
                </c:pt>
                <c:pt idx="110">
                  <c:v>36586</c:v>
                </c:pt>
                <c:pt idx="111">
                  <c:v>36617</c:v>
                </c:pt>
                <c:pt idx="112">
                  <c:v>36647</c:v>
                </c:pt>
                <c:pt idx="113">
                  <c:v>36678</c:v>
                </c:pt>
                <c:pt idx="114">
                  <c:v>36708</c:v>
                </c:pt>
                <c:pt idx="115">
                  <c:v>36739</c:v>
                </c:pt>
                <c:pt idx="116">
                  <c:v>36770</c:v>
                </c:pt>
                <c:pt idx="117">
                  <c:v>36800</c:v>
                </c:pt>
                <c:pt idx="118">
                  <c:v>36831</c:v>
                </c:pt>
                <c:pt idx="119">
                  <c:v>36861</c:v>
                </c:pt>
                <c:pt idx="120">
                  <c:v>36892</c:v>
                </c:pt>
                <c:pt idx="121">
                  <c:v>36923</c:v>
                </c:pt>
                <c:pt idx="122">
                  <c:v>36951</c:v>
                </c:pt>
                <c:pt idx="123">
                  <c:v>36982</c:v>
                </c:pt>
                <c:pt idx="124">
                  <c:v>37012</c:v>
                </c:pt>
                <c:pt idx="125">
                  <c:v>37043</c:v>
                </c:pt>
                <c:pt idx="126">
                  <c:v>37073</c:v>
                </c:pt>
                <c:pt idx="127">
                  <c:v>37104</c:v>
                </c:pt>
                <c:pt idx="128">
                  <c:v>37135</c:v>
                </c:pt>
                <c:pt idx="129">
                  <c:v>37165</c:v>
                </c:pt>
                <c:pt idx="130">
                  <c:v>37196</c:v>
                </c:pt>
                <c:pt idx="131">
                  <c:v>37226</c:v>
                </c:pt>
                <c:pt idx="132">
                  <c:v>37257</c:v>
                </c:pt>
                <c:pt idx="133">
                  <c:v>37288</c:v>
                </c:pt>
                <c:pt idx="134">
                  <c:v>37316</c:v>
                </c:pt>
                <c:pt idx="135">
                  <c:v>37347</c:v>
                </c:pt>
                <c:pt idx="136">
                  <c:v>37377</c:v>
                </c:pt>
                <c:pt idx="137">
                  <c:v>37408</c:v>
                </c:pt>
                <c:pt idx="138">
                  <c:v>37438</c:v>
                </c:pt>
                <c:pt idx="139">
                  <c:v>37469</c:v>
                </c:pt>
                <c:pt idx="140">
                  <c:v>37500</c:v>
                </c:pt>
                <c:pt idx="141">
                  <c:v>37530</c:v>
                </c:pt>
                <c:pt idx="142">
                  <c:v>37561</c:v>
                </c:pt>
                <c:pt idx="143">
                  <c:v>37591</c:v>
                </c:pt>
                <c:pt idx="144">
                  <c:v>37622</c:v>
                </c:pt>
                <c:pt idx="145">
                  <c:v>37653</c:v>
                </c:pt>
                <c:pt idx="146">
                  <c:v>37681</c:v>
                </c:pt>
                <c:pt idx="147">
                  <c:v>37712</c:v>
                </c:pt>
                <c:pt idx="148">
                  <c:v>37742</c:v>
                </c:pt>
                <c:pt idx="149">
                  <c:v>37773</c:v>
                </c:pt>
                <c:pt idx="150">
                  <c:v>37803</c:v>
                </c:pt>
                <c:pt idx="151">
                  <c:v>37834</c:v>
                </c:pt>
                <c:pt idx="152">
                  <c:v>37865</c:v>
                </c:pt>
                <c:pt idx="153">
                  <c:v>37895</c:v>
                </c:pt>
                <c:pt idx="154">
                  <c:v>37926</c:v>
                </c:pt>
                <c:pt idx="155">
                  <c:v>37956</c:v>
                </c:pt>
                <c:pt idx="156">
                  <c:v>37987</c:v>
                </c:pt>
                <c:pt idx="157">
                  <c:v>38018</c:v>
                </c:pt>
                <c:pt idx="158">
                  <c:v>38047</c:v>
                </c:pt>
                <c:pt idx="159">
                  <c:v>38078</c:v>
                </c:pt>
                <c:pt idx="160">
                  <c:v>38108</c:v>
                </c:pt>
                <c:pt idx="161">
                  <c:v>38139</c:v>
                </c:pt>
                <c:pt idx="162">
                  <c:v>38169</c:v>
                </c:pt>
                <c:pt idx="163">
                  <c:v>38200</c:v>
                </c:pt>
                <c:pt idx="164">
                  <c:v>38231</c:v>
                </c:pt>
                <c:pt idx="165">
                  <c:v>38261</c:v>
                </c:pt>
                <c:pt idx="166">
                  <c:v>38292</c:v>
                </c:pt>
                <c:pt idx="167">
                  <c:v>38322</c:v>
                </c:pt>
                <c:pt idx="168">
                  <c:v>38353</c:v>
                </c:pt>
                <c:pt idx="169">
                  <c:v>38384</c:v>
                </c:pt>
                <c:pt idx="170">
                  <c:v>38412</c:v>
                </c:pt>
                <c:pt idx="171">
                  <c:v>38443</c:v>
                </c:pt>
                <c:pt idx="172">
                  <c:v>38473</c:v>
                </c:pt>
                <c:pt idx="173">
                  <c:v>38504</c:v>
                </c:pt>
                <c:pt idx="174">
                  <c:v>38534</c:v>
                </c:pt>
                <c:pt idx="175">
                  <c:v>38565</c:v>
                </c:pt>
                <c:pt idx="176">
                  <c:v>38596</c:v>
                </c:pt>
                <c:pt idx="177">
                  <c:v>38626</c:v>
                </c:pt>
                <c:pt idx="178">
                  <c:v>38657</c:v>
                </c:pt>
                <c:pt idx="179">
                  <c:v>38687</c:v>
                </c:pt>
                <c:pt idx="180">
                  <c:v>38718</c:v>
                </c:pt>
                <c:pt idx="181">
                  <c:v>38749</c:v>
                </c:pt>
                <c:pt idx="182">
                  <c:v>38777</c:v>
                </c:pt>
                <c:pt idx="183">
                  <c:v>38808</c:v>
                </c:pt>
                <c:pt idx="184">
                  <c:v>38838</c:v>
                </c:pt>
                <c:pt idx="185">
                  <c:v>38869</c:v>
                </c:pt>
                <c:pt idx="186">
                  <c:v>38899</c:v>
                </c:pt>
                <c:pt idx="187">
                  <c:v>38930</c:v>
                </c:pt>
                <c:pt idx="188">
                  <c:v>38961</c:v>
                </c:pt>
                <c:pt idx="189">
                  <c:v>38991</c:v>
                </c:pt>
                <c:pt idx="190">
                  <c:v>39022</c:v>
                </c:pt>
                <c:pt idx="191">
                  <c:v>39052</c:v>
                </c:pt>
                <c:pt idx="192">
                  <c:v>39083</c:v>
                </c:pt>
                <c:pt idx="193">
                  <c:v>39114</c:v>
                </c:pt>
                <c:pt idx="194">
                  <c:v>39142</c:v>
                </c:pt>
                <c:pt idx="195">
                  <c:v>39173</c:v>
                </c:pt>
                <c:pt idx="196">
                  <c:v>39203</c:v>
                </c:pt>
                <c:pt idx="197">
                  <c:v>39234</c:v>
                </c:pt>
                <c:pt idx="198">
                  <c:v>39264</c:v>
                </c:pt>
                <c:pt idx="199">
                  <c:v>39295</c:v>
                </c:pt>
                <c:pt idx="200">
                  <c:v>39326</c:v>
                </c:pt>
                <c:pt idx="201">
                  <c:v>39356</c:v>
                </c:pt>
                <c:pt idx="202">
                  <c:v>39387</c:v>
                </c:pt>
                <c:pt idx="203">
                  <c:v>39417</c:v>
                </c:pt>
                <c:pt idx="204">
                  <c:v>39448</c:v>
                </c:pt>
                <c:pt idx="205">
                  <c:v>39479</c:v>
                </c:pt>
                <c:pt idx="206">
                  <c:v>39508</c:v>
                </c:pt>
                <c:pt idx="207">
                  <c:v>39539</c:v>
                </c:pt>
                <c:pt idx="208">
                  <c:v>39569</c:v>
                </c:pt>
                <c:pt idx="209">
                  <c:v>39600</c:v>
                </c:pt>
                <c:pt idx="210">
                  <c:v>39630</c:v>
                </c:pt>
                <c:pt idx="211">
                  <c:v>39661</c:v>
                </c:pt>
                <c:pt idx="212">
                  <c:v>39692</c:v>
                </c:pt>
                <c:pt idx="213">
                  <c:v>39722</c:v>
                </c:pt>
                <c:pt idx="214">
                  <c:v>39753</c:v>
                </c:pt>
                <c:pt idx="215">
                  <c:v>39783</c:v>
                </c:pt>
                <c:pt idx="216">
                  <c:v>39814</c:v>
                </c:pt>
                <c:pt idx="217">
                  <c:v>39845</c:v>
                </c:pt>
                <c:pt idx="218">
                  <c:v>39873</c:v>
                </c:pt>
                <c:pt idx="219">
                  <c:v>39904</c:v>
                </c:pt>
                <c:pt idx="220">
                  <c:v>39934</c:v>
                </c:pt>
                <c:pt idx="221">
                  <c:v>39965</c:v>
                </c:pt>
                <c:pt idx="222">
                  <c:v>39995</c:v>
                </c:pt>
                <c:pt idx="223">
                  <c:v>40026</c:v>
                </c:pt>
                <c:pt idx="224">
                  <c:v>40057</c:v>
                </c:pt>
                <c:pt idx="225">
                  <c:v>40087</c:v>
                </c:pt>
                <c:pt idx="226">
                  <c:v>40118</c:v>
                </c:pt>
                <c:pt idx="227">
                  <c:v>40148</c:v>
                </c:pt>
                <c:pt idx="228">
                  <c:v>40179</c:v>
                </c:pt>
                <c:pt idx="229">
                  <c:v>40210</c:v>
                </c:pt>
                <c:pt idx="230">
                  <c:v>40238</c:v>
                </c:pt>
                <c:pt idx="231">
                  <c:v>40269</c:v>
                </c:pt>
                <c:pt idx="232">
                  <c:v>40299</c:v>
                </c:pt>
                <c:pt idx="233">
                  <c:v>40330</c:v>
                </c:pt>
                <c:pt idx="234">
                  <c:v>40360</c:v>
                </c:pt>
                <c:pt idx="235">
                  <c:v>40391</c:v>
                </c:pt>
                <c:pt idx="236">
                  <c:v>40422</c:v>
                </c:pt>
                <c:pt idx="237">
                  <c:v>40452</c:v>
                </c:pt>
                <c:pt idx="238">
                  <c:v>40483</c:v>
                </c:pt>
                <c:pt idx="239">
                  <c:v>40513</c:v>
                </c:pt>
                <c:pt idx="240">
                  <c:v>40544</c:v>
                </c:pt>
                <c:pt idx="241">
                  <c:v>40575</c:v>
                </c:pt>
                <c:pt idx="242">
                  <c:v>40603</c:v>
                </c:pt>
                <c:pt idx="243">
                  <c:v>40634</c:v>
                </c:pt>
                <c:pt idx="244">
                  <c:v>40664</c:v>
                </c:pt>
                <c:pt idx="245">
                  <c:v>40695</c:v>
                </c:pt>
                <c:pt idx="246">
                  <c:v>40725</c:v>
                </c:pt>
                <c:pt idx="247">
                  <c:v>40756</c:v>
                </c:pt>
                <c:pt idx="248">
                  <c:v>40787</c:v>
                </c:pt>
                <c:pt idx="249">
                  <c:v>40817</c:v>
                </c:pt>
                <c:pt idx="250">
                  <c:v>40848</c:v>
                </c:pt>
                <c:pt idx="251">
                  <c:v>40878</c:v>
                </c:pt>
                <c:pt idx="252">
                  <c:v>40909</c:v>
                </c:pt>
                <c:pt idx="253">
                  <c:v>40940</c:v>
                </c:pt>
                <c:pt idx="254">
                  <c:v>40969</c:v>
                </c:pt>
                <c:pt idx="255">
                  <c:v>41000</c:v>
                </c:pt>
                <c:pt idx="256">
                  <c:v>41030</c:v>
                </c:pt>
                <c:pt idx="257">
                  <c:v>41061</c:v>
                </c:pt>
                <c:pt idx="258">
                  <c:v>41091</c:v>
                </c:pt>
                <c:pt idx="259">
                  <c:v>41122</c:v>
                </c:pt>
                <c:pt idx="260">
                  <c:v>41153</c:v>
                </c:pt>
                <c:pt idx="261">
                  <c:v>41183</c:v>
                </c:pt>
                <c:pt idx="262">
                  <c:v>41214</c:v>
                </c:pt>
                <c:pt idx="263">
                  <c:v>41244</c:v>
                </c:pt>
                <c:pt idx="264">
                  <c:v>41275</c:v>
                </c:pt>
                <c:pt idx="265">
                  <c:v>41306</c:v>
                </c:pt>
                <c:pt idx="266">
                  <c:v>41334</c:v>
                </c:pt>
                <c:pt idx="267">
                  <c:v>41365</c:v>
                </c:pt>
                <c:pt idx="268">
                  <c:v>41395</c:v>
                </c:pt>
                <c:pt idx="269">
                  <c:v>41426</c:v>
                </c:pt>
                <c:pt idx="270">
                  <c:v>41456</c:v>
                </c:pt>
                <c:pt idx="271">
                  <c:v>41487</c:v>
                </c:pt>
                <c:pt idx="272">
                  <c:v>41518</c:v>
                </c:pt>
                <c:pt idx="273">
                  <c:v>41548</c:v>
                </c:pt>
                <c:pt idx="274">
                  <c:v>41579</c:v>
                </c:pt>
                <c:pt idx="275">
                  <c:v>41609</c:v>
                </c:pt>
                <c:pt idx="276">
                  <c:v>41640</c:v>
                </c:pt>
                <c:pt idx="277">
                  <c:v>41671</c:v>
                </c:pt>
                <c:pt idx="278">
                  <c:v>41699</c:v>
                </c:pt>
                <c:pt idx="279">
                  <c:v>41730</c:v>
                </c:pt>
                <c:pt idx="280">
                  <c:v>41760</c:v>
                </c:pt>
                <c:pt idx="281">
                  <c:v>41791</c:v>
                </c:pt>
                <c:pt idx="282">
                  <c:v>41821</c:v>
                </c:pt>
                <c:pt idx="283">
                  <c:v>41852</c:v>
                </c:pt>
                <c:pt idx="284">
                  <c:v>41883</c:v>
                </c:pt>
                <c:pt idx="285">
                  <c:v>41913</c:v>
                </c:pt>
                <c:pt idx="286">
                  <c:v>41944</c:v>
                </c:pt>
                <c:pt idx="287">
                  <c:v>41974</c:v>
                </c:pt>
                <c:pt idx="288">
                  <c:v>42005</c:v>
                </c:pt>
                <c:pt idx="289">
                  <c:v>42036</c:v>
                </c:pt>
                <c:pt idx="290">
                  <c:v>42064</c:v>
                </c:pt>
                <c:pt idx="291">
                  <c:v>42095</c:v>
                </c:pt>
                <c:pt idx="292">
                  <c:v>42125</c:v>
                </c:pt>
                <c:pt idx="293">
                  <c:v>42156</c:v>
                </c:pt>
                <c:pt idx="294">
                  <c:v>42186</c:v>
                </c:pt>
                <c:pt idx="295">
                  <c:v>42217</c:v>
                </c:pt>
                <c:pt idx="296">
                  <c:v>42248</c:v>
                </c:pt>
                <c:pt idx="297">
                  <c:v>42278</c:v>
                </c:pt>
                <c:pt idx="298">
                  <c:v>42309</c:v>
                </c:pt>
                <c:pt idx="299">
                  <c:v>42339</c:v>
                </c:pt>
                <c:pt idx="300">
                  <c:v>42370</c:v>
                </c:pt>
                <c:pt idx="301">
                  <c:v>42401</c:v>
                </c:pt>
                <c:pt idx="302">
                  <c:v>42430</c:v>
                </c:pt>
                <c:pt idx="303">
                  <c:v>42461</c:v>
                </c:pt>
                <c:pt idx="304">
                  <c:v>42491</c:v>
                </c:pt>
                <c:pt idx="305">
                  <c:v>42522</c:v>
                </c:pt>
                <c:pt idx="306">
                  <c:v>42552</c:v>
                </c:pt>
                <c:pt idx="307">
                  <c:v>42583</c:v>
                </c:pt>
                <c:pt idx="308">
                  <c:v>42614</c:v>
                </c:pt>
                <c:pt idx="309">
                  <c:v>42644</c:v>
                </c:pt>
                <c:pt idx="310">
                  <c:v>42675</c:v>
                </c:pt>
                <c:pt idx="311">
                  <c:v>42705</c:v>
                </c:pt>
                <c:pt idx="312">
                  <c:v>42736</c:v>
                </c:pt>
                <c:pt idx="313">
                  <c:v>42767</c:v>
                </c:pt>
                <c:pt idx="314">
                  <c:v>42795</c:v>
                </c:pt>
                <c:pt idx="315">
                  <c:v>42826</c:v>
                </c:pt>
                <c:pt idx="316">
                  <c:v>42856</c:v>
                </c:pt>
                <c:pt idx="317">
                  <c:v>42887</c:v>
                </c:pt>
                <c:pt idx="318">
                  <c:v>42917</c:v>
                </c:pt>
                <c:pt idx="319">
                  <c:v>42948</c:v>
                </c:pt>
                <c:pt idx="320">
                  <c:v>42979</c:v>
                </c:pt>
                <c:pt idx="321">
                  <c:v>43009</c:v>
                </c:pt>
                <c:pt idx="322">
                  <c:v>43040</c:v>
                </c:pt>
                <c:pt idx="323">
                  <c:v>43070</c:v>
                </c:pt>
                <c:pt idx="324">
                  <c:v>43101</c:v>
                </c:pt>
                <c:pt idx="325">
                  <c:v>43132</c:v>
                </c:pt>
                <c:pt idx="326">
                  <c:v>43160</c:v>
                </c:pt>
                <c:pt idx="327">
                  <c:v>43191</c:v>
                </c:pt>
                <c:pt idx="328">
                  <c:v>43221</c:v>
                </c:pt>
                <c:pt idx="329">
                  <c:v>43252</c:v>
                </c:pt>
                <c:pt idx="330">
                  <c:v>43282</c:v>
                </c:pt>
                <c:pt idx="331">
                  <c:v>43313</c:v>
                </c:pt>
                <c:pt idx="332">
                  <c:v>43344</c:v>
                </c:pt>
                <c:pt idx="333">
                  <c:v>43374</c:v>
                </c:pt>
                <c:pt idx="334">
                  <c:v>43405</c:v>
                </c:pt>
                <c:pt idx="335">
                  <c:v>43435</c:v>
                </c:pt>
                <c:pt idx="336">
                  <c:v>43466</c:v>
                </c:pt>
                <c:pt idx="337">
                  <c:v>43497</c:v>
                </c:pt>
                <c:pt idx="338">
                  <c:v>43525</c:v>
                </c:pt>
                <c:pt idx="339">
                  <c:v>43556</c:v>
                </c:pt>
                <c:pt idx="340">
                  <c:v>43586</c:v>
                </c:pt>
                <c:pt idx="341">
                  <c:v>43617</c:v>
                </c:pt>
                <c:pt idx="342">
                  <c:v>43647</c:v>
                </c:pt>
                <c:pt idx="343">
                  <c:v>43678</c:v>
                </c:pt>
                <c:pt idx="344">
                  <c:v>43709</c:v>
                </c:pt>
                <c:pt idx="345">
                  <c:v>43739</c:v>
                </c:pt>
                <c:pt idx="346">
                  <c:v>43770</c:v>
                </c:pt>
                <c:pt idx="347">
                  <c:v>43800</c:v>
                </c:pt>
                <c:pt idx="348">
                  <c:v>43831</c:v>
                </c:pt>
                <c:pt idx="349">
                  <c:v>43862</c:v>
                </c:pt>
                <c:pt idx="350">
                  <c:v>43891</c:v>
                </c:pt>
                <c:pt idx="351">
                  <c:v>43922</c:v>
                </c:pt>
                <c:pt idx="352">
                  <c:v>43952</c:v>
                </c:pt>
                <c:pt idx="353">
                  <c:v>43983</c:v>
                </c:pt>
                <c:pt idx="354">
                  <c:v>44013</c:v>
                </c:pt>
                <c:pt idx="355">
                  <c:v>44044</c:v>
                </c:pt>
                <c:pt idx="356">
                  <c:v>44075</c:v>
                </c:pt>
                <c:pt idx="357">
                  <c:v>44105</c:v>
                </c:pt>
                <c:pt idx="358">
                  <c:v>44136</c:v>
                </c:pt>
                <c:pt idx="359">
                  <c:v>44166</c:v>
                </c:pt>
                <c:pt idx="360">
                  <c:v>44197</c:v>
                </c:pt>
                <c:pt idx="361">
                  <c:v>44228</c:v>
                </c:pt>
                <c:pt idx="362">
                  <c:v>44256</c:v>
                </c:pt>
                <c:pt idx="363">
                  <c:v>44287</c:v>
                </c:pt>
                <c:pt idx="364">
                  <c:v>44317</c:v>
                </c:pt>
                <c:pt idx="365">
                  <c:v>44348</c:v>
                </c:pt>
                <c:pt idx="366">
                  <c:v>44378</c:v>
                </c:pt>
                <c:pt idx="367">
                  <c:v>44409</c:v>
                </c:pt>
                <c:pt idx="368">
                  <c:v>44440</c:v>
                </c:pt>
                <c:pt idx="369">
                  <c:v>44470</c:v>
                </c:pt>
                <c:pt idx="370">
                  <c:v>44501</c:v>
                </c:pt>
                <c:pt idx="371">
                  <c:v>44531</c:v>
                </c:pt>
                <c:pt idx="372">
                  <c:v>44562</c:v>
                </c:pt>
                <c:pt idx="373">
                  <c:v>44593</c:v>
                </c:pt>
                <c:pt idx="374">
                  <c:v>44621</c:v>
                </c:pt>
                <c:pt idx="375">
                  <c:v>44652</c:v>
                </c:pt>
                <c:pt idx="376">
                  <c:v>44682</c:v>
                </c:pt>
                <c:pt idx="377">
                  <c:v>44713</c:v>
                </c:pt>
                <c:pt idx="378">
                  <c:v>44743</c:v>
                </c:pt>
                <c:pt idx="379">
                  <c:v>44774</c:v>
                </c:pt>
                <c:pt idx="380">
                  <c:v>44805</c:v>
                </c:pt>
                <c:pt idx="381">
                  <c:v>44835</c:v>
                </c:pt>
                <c:pt idx="382">
                  <c:v>44866</c:v>
                </c:pt>
                <c:pt idx="383">
                  <c:v>44896</c:v>
                </c:pt>
                <c:pt idx="384">
                  <c:v>44927</c:v>
                </c:pt>
                <c:pt idx="385">
                  <c:v>44958</c:v>
                </c:pt>
                <c:pt idx="386">
                  <c:v>44986</c:v>
                </c:pt>
                <c:pt idx="387">
                  <c:v>45017</c:v>
                </c:pt>
                <c:pt idx="388">
                  <c:v>45047</c:v>
                </c:pt>
                <c:pt idx="389">
                  <c:v>45078</c:v>
                </c:pt>
                <c:pt idx="390">
                  <c:v>45108</c:v>
                </c:pt>
                <c:pt idx="391">
                  <c:v>45139</c:v>
                </c:pt>
                <c:pt idx="392">
                  <c:v>45170</c:v>
                </c:pt>
                <c:pt idx="393">
                  <c:v>45200</c:v>
                </c:pt>
                <c:pt idx="394">
                  <c:v>45231</c:v>
                </c:pt>
                <c:pt idx="395">
                  <c:v>45261</c:v>
                </c:pt>
                <c:pt idx="396">
                  <c:v>45292</c:v>
                </c:pt>
                <c:pt idx="397">
                  <c:v>45323</c:v>
                </c:pt>
                <c:pt idx="398">
                  <c:v>45352</c:v>
                </c:pt>
                <c:pt idx="399">
                  <c:v>45383</c:v>
                </c:pt>
                <c:pt idx="400">
                  <c:v>45413</c:v>
                </c:pt>
                <c:pt idx="401">
                  <c:v>45444</c:v>
                </c:pt>
                <c:pt idx="402">
                  <c:v>45474</c:v>
                </c:pt>
                <c:pt idx="403">
                  <c:v>45505</c:v>
                </c:pt>
                <c:pt idx="404">
                  <c:v>45536</c:v>
                </c:pt>
                <c:pt idx="405">
                  <c:v>45566</c:v>
                </c:pt>
                <c:pt idx="406">
                  <c:v>45597</c:v>
                </c:pt>
                <c:pt idx="407">
                  <c:v>45627</c:v>
                </c:pt>
                <c:pt idx="408">
                  <c:v>45658</c:v>
                </c:pt>
                <c:pt idx="409">
                  <c:v>45689</c:v>
                </c:pt>
                <c:pt idx="410">
                  <c:v>45717</c:v>
                </c:pt>
                <c:pt idx="411">
                  <c:v>45748</c:v>
                </c:pt>
                <c:pt idx="412">
                  <c:v>45778</c:v>
                </c:pt>
                <c:pt idx="413">
                  <c:v>45809</c:v>
                </c:pt>
                <c:pt idx="414">
                  <c:v>45839</c:v>
                </c:pt>
                <c:pt idx="415">
                  <c:v>45870</c:v>
                </c:pt>
                <c:pt idx="416">
                  <c:v>45901</c:v>
                </c:pt>
                <c:pt idx="417">
                  <c:v>45931</c:v>
                </c:pt>
                <c:pt idx="418">
                  <c:v>45962</c:v>
                </c:pt>
                <c:pt idx="419">
                  <c:v>45992</c:v>
                </c:pt>
                <c:pt idx="420">
                  <c:v>46023</c:v>
                </c:pt>
                <c:pt idx="421">
                  <c:v>46054</c:v>
                </c:pt>
                <c:pt idx="422">
                  <c:v>46082</c:v>
                </c:pt>
                <c:pt idx="423">
                  <c:v>46113</c:v>
                </c:pt>
                <c:pt idx="424">
                  <c:v>46143</c:v>
                </c:pt>
                <c:pt idx="425">
                  <c:v>46174</c:v>
                </c:pt>
                <c:pt idx="426">
                  <c:v>46204</c:v>
                </c:pt>
                <c:pt idx="427">
                  <c:v>46235</c:v>
                </c:pt>
                <c:pt idx="428">
                  <c:v>46266</c:v>
                </c:pt>
                <c:pt idx="429">
                  <c:v>46296</c:v>
                </c:pt>
                <c:pt idx="430">
                  <c:v>46327</c:v>
                </c:pt>
                <c:pt idx="431">
                  <c:v>46357</c:v>
                </c:pt>
                <c:pt idx="432">
                  <c:v>46388</c:v>
                </c:pt>
              </c:numCache>
            </c:numRef>
          </c:cat>
          <c:val>
            <c:numRef>
              <c:f>'Input Data'!$D$2:$D$434</c:f>
              <c:numCache>
                <c:formatCode>#,##0</c:formatCode>
                <c:ptCount val="433"/>
                <c:pt idx="0">
                  <c:v>962000</c:v>
                </c:pt>
                <c:pt idx="1">
                  <c:v>981000</c:v>
                </c:pt>
                <c:pt idx="2">
                  <c:v>993000</c:v>
                </c:pt>
                <c:pt idx="3">
                  <c:v>1003000</c:v>
                </c:pt>
                <c:pt idx="4">
                  <c:v>992000</c:v>
                </c:pt>
                <c:pt idx="5">
                  <c:v>1005000</c:v>
                </c:pt>
                <c:pt idx="6">
                  <c:v>992000</c:v>
                </c:pt>
                <c:pt idx="7">
                  <c:v>1015000</c:v>
                </c:pt>
                <c:pt idx="8">
                  <c:v>1011000</c:v>
                </c:pt>
                <c:pt idx="9">
                  <c:v>1025000</c:v>
                </c:pt>
                <c:pt idx="10">
                  <c:v>1020000</c:v>
                </c:pt>
                <c:pt idx="11">
                  <c:v>1014000</c:v>
                </c:pt>
                <c:pt idx="12">
                  <c:v>998000</c:v>
                </c:pt>
                <c:pt idx="13">
                  <c:v>1009000</c:v>
                </c:pt>
                <c:pt idx="14">
                  <c:v>1021000</c:v>
                </c:pt>
                <c:pt idx="15">
                  <c:v>1049000</c:v>
                </c:pt>
                <c:pt idx="16">
                  <c:v>1029000</c:v>
                </c:pt>
                <c:pt idx="17">
                  <c:v>1014000</c:v>
                </c:pt>
                <c:pt idx="18">
                  <c:v>1023000</c:v>
                </c:pt>
                <c:pt idx="19">
                  <c:v>1023000</c:v>
                </c:pt>
                <c:pt idx="20">
                  <c:v>1022000</c:v>
                </c:pt>
                <c:pt idx="21">
                  <c:v>1016000</c:v>
                </c:pt>
                <c:pt idx="22">
                  <c:v>1007000</c:v>
                </c:pt>
                <c:pt idx="23">
                  <c:v>1001000</c:v>
                </c:pt>
                <c:pt idx="24">
                  <c:v>989000</c:v>
                </c:pt>
                <c:pt idx="25">
                  <c:v>1008000</c:v>
                </c:pt>
                <c:pt idx="26">
                  <c:v>1025000</c:v>
                </c:pt>
                <c:pt idx="27">
                  <c:v>1051000</c:v>
                </c:pt>
                <c:pt idx="28">
                  <c:v>1058000</c:v>
                </c:pt>
                <c:pt idx="29">
                  <c:v>1064000</c:v>
                </c:pt>
                <c:pt idx="30">
                  <c:v>1049000</c:v>
                </c:pt>
                <c:pt idx="31">
                  <c:v>1052000</c:v>
                </c:pt>
                <c:pt idx="32">
                  <c:v>1049000</c:v>
                </c:pt>
                <c:pt idx="33">
                  <c:v>1024000</c:v>
                </c:pt>
                <c:pt idx="34">
                  <c:v>1009000</c:v>
                </c:pt>
                <c:pt idx="35">
                  <c:v>1011000</c:v>
                </c:pt>
                <c:pt idx="36">
                  <c:v>1001000</c:v>
                </c:pt>
                <c:pt idx="37">
                  <c:v>961000</c:v>
                </c:pt>
                <c:pt idx="38">
                  <c:v>1041000</c:v>
                </c:pt>
                <c:pt idx="39">
                  <c:v>1046000</c:v>
                </c:pt>
                <c:pt idx="40">
                  <c:v>1032000</c:v>
                </c:pt>
                <c:pt idx="41">
                  <c:v>1052000</c:v>
                </c:pt>
                <c:pt idx="42">
                  <c:v>1031000</c:v>
                </c:pt>
                <c:pt idx="43">
                  <c:v>1034000</c:v>
                </c:pt>
                <c:pt idx="44">
                  <c:v>1025000</c:v>
                </c:pt>
                <c:pt idx="45">
                  <c:v>1019000</c:v>
                </c:pt>
                <c:pt idx="46">
                  <c:v>1022000</c:v>
                </c:pt>
                <c:pt idx="47">
                  <c:v>1010000</c:v>
                </c:pt>
                <c:pt idx="48">
                  <c:v>1009000</c:v>
                </c:pt>
                <c:pt idx="49">
                  <c:v>1024000</c:v>
                </c:pt>
                <c:pt idx="50">
                  <c:v>1039000</c:v>
                </c:pt>
                <c:pt idx="51">
                  <c:v>1040000</c:v>
                </c:pt>
                <c:pt idx="52">
                  <c:v>1024000</c:v>
                </c:pt>
                <c:pt idx="53">
                  <c:v>1019000</c:v>
                </c:pt>
                <c:pt idx="54">
                  <c:v>1009000</c:v>
                </c:pt>
                <c:pt idx="55">
                  <c:v>1015000</c:v>
                </c:pt>
                <c:pt idx="56">
                  <c:v>1002000</c:v>
                </c:pt>
                <c:pt idx="57">
                  <c:v>1010000</c:v>
                </c:pt>
                <c:pt idx="58">
                  <c:v>1012000</c:v>
                </c:pt>
                <c:pt idx="59">
                  <c:v>1006000</c:v>
                </c:pt>
                <c:pt idx="60">
                  <c:v>997000</c:v>
                </c:pt>
                <c:pt idx="61">
                  <c:v>1007000</c:v>
                </c:pt>
                <c:pt idx="62">
                  <c:v>1049000</c:v>
                </c:pt>
                <c:pt idx="63">
                  <c:v>1063000</c:v>
                </c:pt>
                <c:pt idx="64">
                  <c:v>1081000</c:v>
                </c:pt>
                <c:pt idx="65">
                  <c:v>1080000</c:v>
                </c:pt>
                <c:pt idx="66">
                  <c:v>1079000</c:v>
                </c:pt>
                <c:pt idx="67">
                  <c:v>1093000</c:v>
                </c:pt>
                <c:pt idx="68">
                  <c:v>1098000</c:v>
                </c:pt>
                <c:pt idx="69">
                  <c:v>1099000</c:v>
                </c:pt>
                <c:pt idx="70">
                  <c:v>1076000</c:v>
                </c:pt>
                <c:pt idx="71">
                  <c:v>1096000</c:v>
                </c:pt>
                <c:pt idx="72">
                  <c:v>1094000</c:v>
                </c:pt>
                <c:pt idx="73">
                  <c:v>1104000</c:v>
                </c:pt>
                <c:pt idx="74">
                  <c:v>1105000</c:v>
                </c:pt>
                <c:pt idx="75">
                  <c:v>1126000</c:v>
                </c:pt>
                <c:pt idx="76">
                  <c:v>1118000</c:v>
                </c:pt>
                <c:pt idx="77">
                  <c:v>1114000</c:v>
                </c:pt>
                <c:pt idx="78">
                  <c:v>1117000</c:v>
                </c:pt>
                <c:pt idx="79">
                  <c:v>1132000</c:v>
                </c:pt>
                <c:pt idx="80">
                  <c:v>1134000</c:v>
                </c:pt>
                <c:pt idx="81">
                  <c:v>1128000</c:v>
                </c:pt>
                <c:pt idx="82">
                  <c:v>1118000</c:v>
                </c:pt>
                <c:pt idx="83">
                  <c:v>1098000</c:v>
                </c:pt>
                <c:pt idx="84">
                  <c:v>1089547.2258064516</c:v>
                </c:pt>
                <c:pt idx="85">
                  <c:v>1092878.857142857</c:v>
                </c:pt>
                <c:pt idx="86">
                  <c:v>1086058.2903225806</c:v>
                </c:pt>
                <c:pt idx="87">
                  <c:v>1058740.0666666667</c:v>
                </c:pt>
                <c:pt idx="88">
                  <c:v>1048381.5483870967</c:v>
                </c:pt>
                <c:pt idx="89">
                  <c:v>1026390.1666666666</c:v>
                </c:pt>
                <c:pt idx="90">
                  <c:v>1005394.9354838709</c:v>
                </c:pt>
                <c:pt idx="91">
                  <c:v>982514.54838709673</c:v>
                </c:pt>
                <c:pt idx="92">
                  <c:v>965526</c:v>
                </c:pt>
                <c:pt idx="93">
                  <c:v>966457.87096774194</c:v>
                </c:pt>
                <c:pt idx="94">
                  <c:v>936797.83333333337</c:v>
                </c:pt>
                <c:pt idx="95">
                  <c:v>897921.12903225806</c:v>
                </c:pt>
                <c:pt idx="96">
                  <c:v>877437.93548387091</c:v>
                </c:pt>
                <c:pt idx="97">
                  <c:v>885067.92857142852</c:v>
                </c:pt>
                <c:pt idx="98">
                  <c:v>867384.48387096776</c:v>
                </c:pt>
                <c:pt idx="99">
                  <c:v>863192.16666666663</c:v>
                </c:pt>
                <c:pt idx="100">
                  <c:v>875540.32258064521</c:v>
                </c:pt>
                <c:pt idx="101">
                  <c:v>888111.5</c:v>
                </c:pt>
                <c:pt idx="102">
                  <c:v>889784.74193548388</c:v>
                </c:pt>
                <c:pt idx="103">
                  <c:v>907885.61290322582</c:v>
                </c:pt>
                <c:pt idx="104">
                  <c:v>923424.6333333333</c:v>
                </c:pt>
                <c:pt idx="105">
                  <c:v>925842.87096774194</c:v>
                </c:pt>
                <c:pt idx="106">
                  <c:v>916641.33333333337</c:v>
                </c:pt>
                <c:pt idx="107">
                  <c:v>923296.16129032255</c:v>
                </c:pt>
                <c:pt idx="108">
                  <c:v>929668.61290322582</c:v>
                </c:pt>
                <c:pt idx="109">
                  <c:v>953541.62068965519</c:v>
                </c:pt>
                <c:pt idx="110">
                  <c:v>970830.48387096776</c:v>
                </c:pt>
                <c:pt idx="111">
                  <c:v>990153.6</c:v>
                </c:pt>
                <c:pt idx="112">
                  <c:v>964869.87096774194</c:v>
                </c:pt>
                <c:pt idx="113">
                  <c:v>977354.2</c:v>
                </c:pt>
                <c:pt idx="114">
                  <c:v>984456.19354838715</c:v>
                </c:pt>
                <c:pt idx="115">
                  <c:v>990321.80645161285</c:v>
                </c:pt>
                <c:pt idx="116">
                  <c:v>981517.9</c:v>
                </c:pt>
                <c:pt idx="117">
                  <c:v>988676.48387096776</c:v>
                </c:pt>
                <c:pt idx="118">
                  <c:v>979606.23333333328</c:v>
                </c:pt>
                <c:pt idx="119">
                  <c:v>675638.3548387097</c:v>
                </c:pt>
                <c:pt idx="120">
                  <c:v>918948.74193548388</c:v>
                </c:pt>
                <c:pt idx="121">
                  <c:v>957277.21428571432</c:v>
                </c:pt>
                <c:pt idx="122">
                  <c:v>951643.22580645164</c:v>
                </c:pt>
                <c:pt idx="123">
                  <c:v>971991.83333333337</c:v>
                </c:pt>
                <c:pt idx="124">
                  <c:v>976632.06451612909</c:v>
                </c:pt>
                <c:pt idx="125">
                  <c:v>973808.8666666667</c:v>
                </c:pt>
                <c:pt idx="126">
                  <c:v>987809.54838709673</c:v>
                </c:pt>
                <c:pt idx="127">
                  <c:v>994568.09677419357</c:v>
                </c:pt>
                <c:pt idx="128">
                  <c:v>981455.43333333335</c:v>
                </c:pt>
                <c:pt idx="129">
                  <c:v>1002234.7419354839</c:v>
                </c:pt>
                <c:pt idx="130">
                  <c:v>994590</c:v>
                </c:pt>
                <c:pt idx="131">
                  <c:v>991781.83870967745</c:v>
                </c:pt>
                <c:pt idx="132">
                  <c:v>976998.83870967745</c:v>
                </c:pt>
                <c:pt idx="133">
                  <c:v>981747.17857142852</c:v>
                </c:pt>
                <c:pt idx="134">
                  <c:v>985728.61290322582</c:v>
                </c:pt>
                <c:pt idx="135">
                  <c:v>977818.23333333328</c:v>
                </c:pt>
                <c:pt idx="136">
                  <c:v>975123.67741935479</c:v>
                </c:pt>
                <c:pt idx="137">
                  <c:v>969196.66666666663</c:v>
                </c:pt>
                <c:pt idx="138">
                  <c:v>969979.3548387097</c:v>
                </c:pt>
                <c:pt idx="139">
                  <c:v>964419.48387096776</c:v>
                </c:pt>
                <c:pt idx="140">
                  <c:v>975741.8666666667</c:v>
                </c:pt>
                <c:pt idx="141">
                  <c:v>974829.16129032255</c:v>
                </c:pt>
                <c:pt idx="142">
                  <c:v>970570.1</c:v>
                </c:pt>
                <c:pt idx="143">
                  <c:v>961503.06451612909</c:v>
                </c:pt>
                <c:pt idx="144">
                  <c:v>956982.25806451612</c:v>
                </c:pt>
                <c:pt idx="145">
                  <c:v>971678.5</c:v>
                </c:pt>
                <c:pt idx="146">
                  <c:v>970919.12903225806</c:v>
                </c:pt>
                <c:pt idx="147">
                  <c:v>961109.66666666663</c:v>
                </c:pt>
                <c:pt idx="148">
                  <c:v>956342.12903225806</c:v>
                </c:pt>
                <c:pt idx="149">
                  <c:v>945346.9</c:v>
                </c:pt>
                <c:pt idx="150">
                  <c:v>941987.61290322582</c:v>
                </c:pt>
                <c:pt idx="151">
                  <c:v>935897.41935483867</c:v>
                </c:pt>
                <c:pt idx="152">
                  <c:v>945013.73333333328</c:v>
                </c:pt>
                <c:pt idx="153">
                  <c:v>941864.32258064521</c:v>
                </c:pt>
                <c:pt idx="154">
                  <c:v>937427.6333333333</c:v>
                </c:pt>
                <c:pt idx="155">
                  <c:v>922033.12903225806</c:v>
                </c:pt>
                <c:pt idx="156">
                  <c:v>925772.29032258061</c:v>
                </c:pt>
                <c:pt idx="157">
                  <c:v>939929.62068965519</c:v>
                </c:pt>
                <c:pt idx="158">
                  <c:v>933672.83870967745</c:v>
                </c:pt>
                <c:pt idx="159">
                  <c:v>934343</c:v>
                </c:pt>
                <c:pt idx="160">
                  <c:v>930891.48387096776</c:v>
                </c:pt>
                <c:pt idx="161">
                  <c:v>821380.1333333333</c:v>
                </c:pt>
                <c:pt idx="162">
                  <c:v>928931.6451612903</c:v>
                </c:pt>
                <c:pt idx="163">
                  <c:v>915289.48387096776</c:v>
                </c:pt>
                <c:pt idx="164">
                  <c:v>920912.6</c:v>
                </c:pt>
                <c:pt idx="165">
                  <c:v>932261.58064516133</c:v>
                </c:pt>
                <c:pt idx="166">
                  <c:v>933287.26666666672</c:v>
                </c:pt>
                <c:pt idx="167">
                  <c:v>912860.3548387097</c:v>
                </c:pt>
                <c:pt idx="168">
                  <c:v>915934.6451612903</c:v>
                </c:pt>
                <c:pt idx="169">
                  <c:v>926153.25</c:v>
                </c:pt>
                <c:pt idx="170">
                  <c:v>940031.6451612903</c:v>
                </c:pt>
                <c:pt idx="171">
                  <c:v>937542.4</c:v>
                </c:pt>
                <c:pt idx="172">
                  <c:v>940372.48387096776</c:v>
                </c:pt>
                <c:pt idx="173">
                  <c:v>943449.7</c:v>
                </c:pt>
                <c:pt idx="174">
                  <c:v>956595.06451612909</c:v>
                </c:pt>
                <c:pt idx="175">
                  <c:v>970626.29032258061</c:v>
                </c:pt>
                <c:pt idx="176">
                  <c:v>901084.73333333328</c:v>
                </c:pt>
                <c:pt idx="177">
                  <c:v>967320.80645161285</c:v>
                </c:pt>
                <c:pt idx="178">
                  <c:v>979031.83333333337</c:v>
                </c:pt>
                <c:pt idx="179">
                  <c:v>979453.6451612903</c:v>
                </c:pt>
                <c:pt idx="180">
                  <c:v>980980.19354838715</c:v>
                </c:pt>
                <c:pt idx="181">
                  <c:v>981758.89285714284</c:v>
                </c:pt>
                <c:pt idx="182">
                  <c:v>983892.22580645164</c:v>
                </c:pt>
                <c:pt idx="183">
                  <c:v>977290.9</c:v>
                </c:pt>
                <c:pt idx="184">
                  <c:v>992253.87096774194</c:v>
                </c:pt>
                <c:pt idx="185">
                  <c:v>984127.23333333328</c:v>
                </c:pt>
                <c:pt idx="186">
                  <c:v>982853.19354838715</c:v>
                </c:pt>
                <c:pt idx="187">
                  <c:v>981252.09677419357</c:v>
                </c:pt>
                <c:pt idx="188">
                  <c:v>986241.9</c:v>
                </c:pt>
                <c:pt idx="189">
                  <c:v>987354</c:v>
                </c:pt>
                <c:pt idx="190">
                  <c:v>982922.1</c:v>
                </c:pt>
                <c:pt idx="191">
                  <c:v>978754.03225806449</c:v>
                </c:pt>
                <c:pt idx="192">
                  <c:v>960652.45161290327</c:v>
                </c:pt>
                <c:pt idx="193">
                  <c:v>950492.42857142852</c:v>
                </c:pt>
                <c:pt idx="194">
                  <c:v>989158.87096774194</c:v>
                </c:pt>
                <c:pt idx="195">
                  <c:v>989960.46666666667</c:v>
                </c:pt>
                <c:pt idx="196">
                  <c:v>998914.87096774194</c:v>
                </c:pt>
                <c:pt idx="197">
                  <c:v>974944.93333333335</c:v>
                </c:pt>
                <c:pt idx="198">
                  <c:v>970800.74193548388</c:v>
                </c:pt>
                <c:pt idx="199">
                  <c:v>981696.09677419357</c:v>
                </c:pt>
                <c:pt idx="200">
                  <c:v>974673.56666666665</c:v>
                </c:pt>
                <c:pt idx="201">
                  <c:v>967177.48387096776</c:v>
                </c:pt>
                <c:pt idx="202">
                  <c:v>984346.1333333333</c:v>
                </c:pt>
                <c:pt idx="203">
                  <c:v>982143.48387096776</c:v>
                </c:pt>
                <c:pt idx="204">
                  <c:v>980410.87096774194</c:v>
                </c:pt>
                <c:pt idx="205">
                  <c:v>993939.13793103443</c:v>
                </c:pt>
                <c:pt idx="206">
                  <c:v>985314.32258064521</c:v>
                </c:pt>
                <c:pt idx="207">
                  <c:v>985774.16666666663</c:v>
                </c:pt>
                <c:pt idx="208">
                  <c:v>1016556.5161290322</c:v>
                </c:pt>
                <c:pt idx="209">
                  <c:v>1014986.9333333333</c:v>
                </c:pt>
                <c:pt idx="210">
                  <c:v>1026115.5161290322</c:v>
                </c:pt>
                <c:pt idx="211">
                  <c:v>1029003.7419354839</c:v>
                </c:pt>
                <c:pt idx="212">
                  <c:v>862443.16666666663</c:v>
                </c:pt>
                <c:pt idx="213">
                  <c:v>1018591.9677419355</c:v>
                </c:pt>
                <c:pt idx="214">
                  <c:v>1028167.3</c:v>
                </c:pt>
                <c:pt idx="215">
                  <c:v>1004206.2903225806</c:v>
                </c:pt>
                <c:pt idx="216">
                  <c:v>989513.54838709673</c:v>
                </c:pt>
                <c:pt idx="217">
                  <c:v>976432.75</c:v>
                </c:pt>
                <c:pt idx="218">
                  <c:v>976687</c:v>
                </c:pt>
                <c:pt idx="219">
                  <c:v>975732.23333333328</c:v>
                </c:pt>
                <c:pt idx="220">
                  <c:v>966132.25806451612</c:v>
                </c:pt>
                <c:pt idx="221">
                  <c:v>967733.7</c:v>
                </c:pt>
                <c:pt idx="222">
                  <c:v>975218.19354838715</c:v>
                </c:pt>
                <c:pt idx="223">
                  <c:v>972733.51612903224</c:v>
                </c:pt>
                <c:pt idx="224">
                  <c:v>969156.03333333333</c:v>
                </c:pt>
                <c:pt idx="225">
                  <c:v>947186.03225806449</c:v>
                </c:pt>
                <c:pt idx="226">
                  <c:v>949327.3666666667</c:v>
                </c:pt>
                <c:pt idx="227">
                  <c:v>958361.51612903224</c:v>
                </c:pt>
                <c:pt idx="228">
                  <c:v>955639.38709677418</c:v>
                </c:pt>
                <c:pt idx="229">
                  <c:v>884319.35714285716</c:v>
                </c:pt>
                <c:pt idx="230">
                  <c:v>970108.80645161285</c:v>
                </c:pt>
                <c:pt idx="231">
                  <c:v>982674.73333333328</c:v>
                </c:pt>
                <c:pt idx="232">
                  <c:v>993209.25806451612</c:v>
                </c:pt>
                <c:pt idx="233">
                  <c:v>993119.73333333328</c:v>
                </c:pt>
                <c:pt idx="234">
                  <c:v>987624.96774193551</c:v>
                </c:pt>
                <c:pt idx="235">
                  <c:v>992896.87096774194</c:v>
                </c:pt>
                <c:pt idx="236">
                  <c:v>1003222.6333333333</c:v>
                </c:pt>
                <c:pt idx="237">
                  <c:v>998093.48387096776</c:v>
                </c:pt>
                <c:pt idx="238">
                  <c:v>1004396.9</c:v>
                </c:pt>
                <c:pt idx="239">
                  <c:v>990652.3548387097</c:v>
                </c:pt>
                <c:pt idx="240">
                  <c:v>988208.67741935479</c:v>
                </c:pt>
                <c:pt idx="241">
                  <c:v>978978.75</c:v>
                </c:pt>
                <c:pt idx="242">
                  <c:v>1000680.7096774194</c:v>
                </c:pt>
                <c:pt idx="243">
                  <c:v>988658</c:v>
                </c:pt>
                <c:pt idx="244">
                  <c:v>1010650.7096774194</c:v>
                </c:pt>
                <c:pt idx="245">
                  <c:v>1011528</c:v>
                </c:pt>
                <c:pt idx="246">
                  <c:v>1022180.3548387097</c:v>
                </c:pt>
                <c:pt idx="247">
                  <c:v>1009389.0322580645</c:v>
                </c:pt>
                <c:pt idx="248">
                  <c:v>981202.1333333333</c:v>
                </c:pt>
                <c:pt idx="249">
                  <c:v>1027364.7741935484</c:v>
                </c:pt>
                <c:pt idx="250">
                  <c:v>1043412.9</c:v>
                </c:pt>
                <c:pt idx="251">
                  <c:v>1030301.4838709678</c:v>
                </c:pt>
                <c:pt idx="252">
                  <c:v>1031097.1290322581</c:v>
                </c:pt>
                <c:pt idx="253">
                  <c:v>1044656.6896551724</c:v>
                </c:pt>
                <c:pt idx="254">
                  <c:v>1039332.4838709678</c:v>
                </c:pt>
                <c:pt idx="255">
                  <c:v>1055398.2333333334</c:v>
                </c:pt>
                <c:pt idx="256">
                  <c:v>1037842.1612903225</c:v>
                </c:pt>
                <c:pt idx="257">
                  <c:v>1070058.9333333333</c:v>
                </c:pt>
                <c:pt idx="258">
                  <c:v>1066439.6451612904</c:v>
                </c:pt>
                <c:pt idx="259">
                  <c:v>1028137.6129032258</c:v>
                </c:pt>
                <c:pt idx="260">
                  <c:v>1062775.0333333334</c:v>
                </c:pt>
                <c:pt idx="261">
                  <c:v>1065358.4838709678</c:v>
                </c:pt>
                <c:pt idx="262">
                  <c:v>1072150.2666666666</c:v>
                </c:pt>
                <c:pt idx="263">
                  <c:v>1047688.2580645161</c:v>
                </c:pt>
                <c:pt idx="264">
                  <c:v>1043023.6774193548</c:v>
                </c:pt>
                <c:pt idx="265">
                  <c:v>1053158.392857143</c:v>
                </c:pt>
                <c:pt idx="266">
                  <c:v>1058219.9032258065</c:v>
                </c:pt>
                <c:pt idx="267">
                  <c:v>1037284.5666666667</c:v>
                </c:pt>
                <c:pt idx="268">
                  <c:v>1049352.7741935484</c:v>
                </c:pt>
                <c:pt idx="269">
                  <c:v>1076682.2333333334</c:v>
                </c:pt>
                <c:pt idx="270">
                  <c:v>1101452.2258064516</c:v>
                </c:pt>
                <c:pt idx="271">
                  <c:v>1072151.1290322582</c:v>
                </c:pt>
                <c:pt idx="272">
                  <c:v>1097499.0333333334</c:v>
                </c:pt>
                <c:pt idx="273">
                  <c:v>1088158.1290322582</c:v>
                </c:pt>
                <c:pt idx="274">
                  <c:v>1094846.5333333334</c:v>
                </c:pt>
                <c:pt idx="275">
                  <c:v>1102942.9677419355</c:v>
                </c:pt>
                <c:pt idx="276">
                  <c:v>1089687.3548387096</c:v>
                </c:pt>
                <c:pt idx="277">
                  <c:v>1115055.2857142857</c:v>
                </c:pt>
                <c:pt idx="278">
                  <c:v>1063185.064516129</c:v>
                </c:pt>
                <c:pt idx="279">
                  <c:v>1112970.7333333334</c:v>
                </c:pt>
                <c:pt idx="280">
                  <c:v>1118169.5161290322</c:v>
                </c:pt>
                <c:pt idx="281">
                  <c:v>1132839</c:v>
                </c:pt>
                <c:pt idx="282">
                  <c:v>1122848.2903225806</c:v>
                </c:pt>
                <c:pt idx="283">
                  <c:v>1146011.4516129033</c:v>
                </c:pt>
                <c:pt idx="284">
                  <c:v>1142812.6000000001</c:v>
                </c:pt>
                <c:pt idx="285">
                  <c:v>1123442.8064516129</c:v>
                </c:pt>
                <c:pt idx="286">
                  <c:v>1160011.8999999999</c:v>
                </c:pt>
                <c:pt idx="287">
                  <c:v>1142320.6129032257</c:v>
                </c:pt>
                <c:pt idx="288">
                  <c:v>1131841.1935483871</c:v>
                </c:pt>
                <c:pt idx="289">
                  <c:v>1131253.642857143</c:v>
                </c:pt>
                <c:pt idx="290">
                  <c:v>1142116.9032258065</c:v>
                </c:pt>
                <c:pt idx="291">
                  <c:v>1104308.5666666667</c:v>
                </c:pt>
                <c:pt idx="292">
                  <c:v>1088602.6774193549</c:v>
                </c:pt>
                <c:pt idx="293">
                  <c:v>1087508.3666666667</c:v>
                </c:pt>
                <c:pt idx="294">
                  <c:v>1102269.8064516129</c:v>
                </c:pt>
                <c:pt idx="295">
                  <c:v>1099208.064516129</c:v>
                </c:pt>
                <c:pt idx="296">
                  <c:v>1078909.5333333334</c:v>
                </c:pt>
                <c:pt idx="297">
                  <c:v>1055446.0322580645</c:v>
                </c:pt>
                <c:pt idx="298">
                  <c:v>1046535.2333333333</c:v>
                </c:pt>
                <c:pt idx="299">
                  <c:v>1025988.1612903225</c:v>
                </c:pt>
                <c:pt idx="300">
                  <c:v>900056.74193548388</c:v>
                </c:pt>
                <c:pt idx="301">
                  <c:v>811134</c:v>
                </c:pt>
                <c:pt idx="302">
                  <c:v>773379.90322580643</c:v>
                </c:pt>
                <c:pt idx="303">
                  <c:v>811634</c:v>
                </c:pt>
                <c:pt idx="304">
                  <c:v>837708.45161290327</c:v>
                </c:pt>
                <c:pt idx="305">
                  <c:v>849546.26666666672</c:v>
                </c:pt>
                <c:pt idx="306">
                  <c:v>821078.25806451612</c:v>
                </c:pt>
                <c:pt idx="307">
                  <c:v>826238.83870967745</c:v>
                </c:pt>
                <c:pt idx="308">
                  <c:v>861143.8</c:v>
                </c:pt>
                <c:pt idx="309">
                  <c:v>868426</c:v>
                </c:pt>
                <c:pt idx="310">
                  <c:v>861481.73333333328</c:v>
                </c:pt>
                <c:pt idx="311">
                  <c:v>849646.29032258061</c:v>
                </c:pt>
                <c:pt idx="312">
                  <c:v>854072</c:v>
                </c:pt>
                <c:pt idx="313">
                  <c:v>840879.17857142852</c:v>
                </c:pt>
                <c:pt idx="314">
                  <c:v>845722.29032258061</c:v>
                </c:pt>
                <c:pt idx="315">
                  <c:v>844389.43333333335</c:v>
                </c:pt>
                <c:pt idx="316">
                  <c:v>800245.45161290327</c:v>
                </c:pt>
                <c:pt idx="317">
                  <c:v>833744.8</c:v>
                </c:pt>
                <c:pt idx="318">
                  <c:v>809048.41935483867</c:v>
                </c:pt>
                <c:pt idx="319">
                  <c:v>837621.48387096776</c:v>
                </c:pt>
                <c:pt idx="320">
                  <c:v>831694.4</c:v>
                </c:pt>
                <c:pt idx="321">
                  <c:v>831305.12903225806</c:v>
                </c:pt>
                <c:pt idx="322">
                  <c:v>857876.1</c:v>
                </c:pt>
                <c:pt idx="323">
                  <c:v>866112.16129032255</c:v>
                </c:pt>
                <c:pt idx="324">
                  <c:v>847322.16129032255</c:v>
                </c:pt>
                <c:pt idx="325">
                  <c:v>866490.21428571432</c:v>
                </c:pt>
                <c:pt idx="326">
                  <c:v>855444.3548387097</c:v>
                </c:pt>
                <c:pt idx="327">
                  <c:v>838022.46666666667</c:v>
                </c:pt>
                <c:pt idx="328">
                  <c:v>875718.54838709673</c:v>
                </c:pt>
                <c:pt idx="329">
                  <c:v>870883.46666666667</c:v>
                </c:pt>
                <c:pt idx="330">
                  <c:v>858785.61290322582</c:v>
                </c:pt>
                <c:pt idx="331">
                  <c:v>898730.06451612909</c:v>
                </c:pt>
                <c:pt idx="332">
                  <c:v>893469.06666666665</c:v>
                </c:pt>
                <c:pt idx="333">
                  <c:v>890975.67741935479</c:v>
                </c:pt>
                <c:pt idx="334">
                  <c:v>886452.9</c:v>
                </c:pt>
                <c:pt idx="335">
                  <c:v>872906.74193548388</c:v>
                </c:pt>
                <c:pt idx="336">
                  <c:v>866816.61290322582</c:v>
                </c:pt>
                <c:pt idx="337">
                  <c:v>854169.07142857148</c:v>
                </c:pt>
                <c:pt idx="338">
                  <c:v>841669.45161290327</c:v>
                </c:pt>
                <c:pt idx="339">
                  <c:v>837233.56666666665</c:v>
                </c:pt>
                <c:pt idx="340">
                  <c:v>753898.32258064521</c:v>
                </c:pt>
                <c:pt idx="341">
                  <c:v>822029.73333333328</c:v>
                </c:pt>
                <c:pt idx="342">
                  <c:v>812621.51612903224</c:v>
                </c:pt>
                <c:pt idx="343">
                  <c:v>827266.25806451612</c:v>
                </c:pt>
                <c:pt idx="344">
                  <c:v>855590.6</c:v>
                </c:pt>
                <c:pt idx="345">
                  <c:v>866949.16129032255</c:v>
                </c:pt>
                <c:pt idx="346">
                  <c:v>869247.73333333328</c:v>
                </c:pt>
                <c:pt idx="347">
                  <c:v>863117.74193548388</c:v>
                </c:pt>
                <c:pt idx="348">
                  <c:v>863446.58064516133</c:v>
                </c:pt>
                <c:pt idx="349">
                  <c:v>875573.79310344823</c:v>
                </c:pt>
                <c:pt idx="350">
                  <c:v>817712.25806451612</c:v>
                </c:pt>
                <c:pt idx="351">
                  <c:v>562803.53333333333</c:v>
                </c:pt>
                <c:pt idx="352">
                  <c:v>533187.80645161285</c:v>
                </c:pt>
                <c:pt idx="353">
                  <c:v>672617.23333333328</c:v>
                </c:pt>
                <c:pt idx="354">
                  <c:v>689818.96774193551</c:v>
                </c:pt>
                <c:pt idx="355">
                  <c:v>701287.93548387091</c:v>
                </c:pt>
                <c:pt idx="356">
                  <c:v>698972.1</c:v>
                </c:pt>
                <c:pt idx="357">
                  <c:v>699121.29032258061</c:v>
                </c:pt>
                <c:pt idx="358">
                  <c:v>696107.1</c:v>
                </c:pt>
                <c:pt idx="359">
                  <c:v>697962.38709677418</c:v>
                </c:pt>
                <c:pt idx="360">
                  <c:v>666097.06451612909</c:v>
                </c:pt>
                <c:pt idx="361">
                  <c:v>611766.57142857148</c:v>
                </c:pt>
                <c:pt idx="362">
                  <c:v>674436.70967741939</c:v>
                </c:pt>
                <c:pt idx="363">
                  <c:v>683516.9</c:v>
                </c:pt>
                <c:pt idx="364">
                  <c:v>687877.16129032255</c:v>
                </c:pt>
                <c:pt idx="365">
                  <c:v>687813.3</c:v>
                </c:pt>
                <c:pt idx="366">
                  <c:v>701576.61290322582</c:v>
                </c:pt>
                <c:pt idx="367">
                  <c:v>704338.54838709673</c:v>
                </c:pt>
                <c:pt idx="368">
                  <c:v>709775.56666666665</c:v>
                </c:pt>
                <c:pt idx="369">
                  <c:v>712712.19354838715</c:v>
                </c:pt>
                <c:pt idx="370">
                  <c:v>737197.26666666672</c:v>
                </c:pt>
                <c:pt idx="371">
                  <c:v>755301.16129032255</c:v>
                </c:pt>
                <c:pt idx="372">
                  <c:v>747210.54838709673</c:v>
                </c:pt>
                <c:pt idx="373">
                  <c:v>752051.10714285716</c:v>
                </c:pt>
                <c:pt idx="374">
                  <c:v>752572.3548387097</c:v>
                </c:pt>
                <c:pt idx="375">
                  <c:v>737486.93333333335</c:v>
                </c:pt>
                <c:pt idx="376">
                  <c:v>744894.38709677418</c:v>
                </c:pt>
                <c:pt idx="377">
                  <c:v>774645.56666666665</c:v>
                </c:pt>
                <c:pt idx="378">
                  <c:v>773411.19354838715</c:v>
                </c:pt>
                <c:pt idx="379">
                  <c:v>778209.6451612903</c:v>
                </c:pt>
                <c:pt idx="380">
                  <c:v>800951.43333333335</c:v>
                </c:pt>
                <c:pt idx="381">
                  <c:v>781081.16129032255</c:v>
                </c:pt>
                <c:pt idx="382">
                  <c:v>804823.6333333333</c:v>
                </c:pt>
                <c:pt idx="383">
                  <c:v>784911.22580645164</c:v>
                </c:pt>
                <c:pt idx="384">
                  <c:v>792750.12903225806</c:v>
                </c:pt>
                <c:pt idx="385">
                  <c:v>794855.92857142852</c:v>
                </c:pt>
                <c:pt idx="386">
                  <c:v>806395.29032258061</c:v>
                </c:pt>
                <c:pt idx="387">
                  <c:v>797557.43333333335</c:v>
                </c:pt>
                <c:pt idx="388">
                  <c:v>828674.61290322582</c:v>
                </c:pt>
                <c:pt idx="389">
                  <c:v>693638.8666666667</c:v>
                </c:pt>
                <c:pt idx="390">
                  <c:v>812762.70967741939</c:v>
                </c:pt>
                <c:pt idx="391">
                  <c:v>827414.48387096776</c:v>
                </c:pt>
                <c:pt idx="392">
                  <c:v>832742.46666666667</c:v>
                </c:pt>
                <c:pt idx="393">
                  <c:v>850376.32258064521</c:v>
                </c:pt>
                <c:pt idx="394">
                  <c:v>862055.93333333335</c:v>
                </c:pt>
                <c:pt idx="395">
                  <c:v>855812.19354838715</c:v>
                </c:pt>
                <c:pt idx="396">
                  <c:v>820526.6451612903</c:v>
                </c:pt>
                <c:pt idx="397">
                  <c:v>858137.96551724139</c:v>
                </c:pt>
                <c:pt idx="398">
                  <c:v>866824.06451612909</c:v>
                </c:pt>
                <c:pt idx="399">
                  <c:v>831495.56666666665</c:v>
                </c:pt>
                <c:pt idx="400">
                  <c:v>833143.06451612909</c:v>
                </c:pt>
                <c:pt idx="401">
                  <c:v>766688.06666666665</c:v>
                </c:pt>
                <c:pt idx="402">
                  <c:v>836807.25806451612</c:v>
                </c:pt>
                <c:pt idx="403">
                  <c:v>869404.41935483867</c:v>
                </c:pt>
                <c:pt idx="404">
                  <c:v>878019.8</c:v>
                </c:pt>
                <c:pt idx="405">
                  <c:v>892205.6451612903</c:v>
                </c:pt>
                <c:pt idx="406">
                  <c:v>900714.2</c:v>
                </c:pt>
                <c:pt idx="407">
                  <c:v>885998.38709677418</c:v>
                </c:pt>
                <c:pt idx="408">
                  <c:v>881104.6451612903</c:v>
                </c:pt>
                <c:pt idx="409">
                  <c:v>883145.89285714284</c:v>
                </c:pt>
                <c:pt idx="410">
                  <c:v>841928.74193548388</c:v>
                </c:pt>
                <c:pt idx="411">
                  <c:v>885090.4</c:v>
                </c:pt>
                <c:pt idx="412">
                  <c:v>886632.25806451612</c:v>
                </c:pt>
                <c:pt idx="413">
                  <c:v>876042.5</c:v>
                </c:pt>
                <c:pt idx="414">
                  <c:v>876773.22580645164</c:v>
                </c:pt>
                <c:pt idx="415">
                  <c:v>875471</c:v>
                </c:pt>
                <c:pt idx="416">
                  <c:v>890238.3</c:v>
                </c:pt>
                <c:pt idx="417">
                  <c:v>889111.58064516133</c:v>
                </c:pt>
                <c:pt idx="418">
                  <c:v>883471.56666666665</c:v>
                </c:pt>
                <c:pt idx="419">
                  <c:v>878437.09677419357</c:v>
                </c:pt>
                <c:pt idx="420">
                  <c:v>845860.51612903224</c:v>
                </c:pt>
                <c:pt idx="421">
                  <c:v>863468.42857142852</c:v>
                </c:pt>
                <c:pt idx="422">
                  <c:v>876452.38709677418</c:v>
                </c:pt>
                <c:pt idx="423">
                  <c:v>878695.7</c:v>
                </c:pt>
                <c:pt idx="424">
                  <c:v>880916.16129032255</c:v>
                </c:pt>
                <c:pt idx="425">
                  <c:v>879414.83333333337</c:v>
                </c:pt>
                <c:pt idx="426">
                  <c:v>880241.6451612903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F-4647-A82A-78F890465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9003960"/>
        <c:axId val="719008552"/>
      </c:lineChart>
      <c:lineChart>
        <c:grouping val="standard"/>
        <c:varyColors val="0"/>
        <c:ser>
          <c:idx val="1"/>
          <c:order val="1"/>
          <c:tx>
            <c:v>Shortfall</c:v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'Input Data'!$A$2:$A$434</c:f>
              <c:numCache>
                <c:formatCode>[$-409]mmm\-yy;@</c:formatCode>
                <c:ptCount val="433"/>
                <c:pt idx="0">
                  <c:v>33239</c:v>
                </c:pt>
                <c:pt idx="1">
                  <c:v>33270</c:v>
                </c:pt>
                <c:pt idx="2">
                  <c:v>33298</c:v>
                </c:pt>
                <c:pt idx="3">
                  <c:v>33329</c:v>
                </c:pt>
                <c:pt idx="4">
                  <c:v>33359</c:v>
                </c:pt>
                <c:pt idx="5">
                  <c:v>33390</c:v>
                </c:pt>
                <c:pt idx="6">
                  <c:v>33420</c:v>
                </c:pt>
                <c:pt idx="7">
                  <c:v>33451</c:v>
                </c:pt>
                <c:pt idx="8">
                  <c:v>33482</c:v>
                </c:pt>
                <c:pt idx="9">
                  <c:v>33512</c:v>
                </c:pt>
                <c:pt idx="10">
                  <c:v>33543</c:v>
                </c:pt>
                <c:pt idx="11">
                  <c:v>33573</c:v>
                </c:pt>
                <c:pt idx="12">
                  <c:v>33604</c:v>
                </c:pt>
                <c:pt idx="13">
                  <c:v>33635</c:v>
                </c:pt>
                <c:pt idx="14">
                  <c:v>33664</c:v>
                </c:pt>
                <c:pt idx="15">
                  <c:v>33695</c:v>
                </c:pt>
                <c:pt idx="16">
                  <c:v>33725</c:v>
                </c:pt>
                <c:pt idx="17">
                  <c:v>33756</c:v>
                </c:pt>
                <c:pt idx="18">
                  <c:v>33786</c:v>
                </c:pt>
                <c:pt idx="19">
                  <c:v>33817</c:v>
                </c:pt>
                <c:pt idx="20">
                  <c:v>33848</c:v>
                </c:pt>
                <c:pt idx="21">
                  <c:v>33878</c:v>
                </c:pt>
                <c:pt idx="22">
                  <c:v>33909</c:v>
                </c:pt>
                <c:pt idx="23">
                  <c:v>33939</c:v>
                </c:pt>
                <c:pt idx="24">
                  <c:v>33970</c:v>
                </c:pt>
                <c:pt idx="25">
                  <c:v>34001</c:v>
                </c:pt>
                <c:pt idx="26">
                  <c:v>34029</c:v>
                </c:pt>
                <c:pt idx="27">
                  <c:v>34060</c:v>
                </c:pt>
                <c:pt idx="28">
                  <c:v>34090</c:v>
                </c:pt>
                <c:pt idx="29">
                  <c:v>34121</c:v>
                </c:pt>
                <c:pt idx="30">
                  <c:v>34151</c:v>
                </c:pt>
                <c:pt idx="31">
                  <c:v>34182</c:v>
                </c:pt>
                <c:pt idx="32">
                  <c:v>34213</c:v>
                </c:pt>
                <c:pt idx="33">
                  <c:v>34243</c:v>
                </c:pt>
                <c:pt idx="34">
                  <c:v>34274</c:v>
                </c:pt>
                <c:pt idx="35">
                  <c:v>34304</c:v>
                </c:pt>
                <c:pt idx="36">
                  <c:v>34335</c:v>
                </c:pt>
                <c:pt idx="37">
                  <c:v>34366</c:v>
                </c:pt>
                <c:pt idx="38">
                  <c:v>34394</c:v>
                </c:pt>
                <c:pt idx="39">
                  <c:v>34425</c:v>
                </c:pt>
                <c:pt idx="40">
                  <c:v>34455</c:v>
                </c:pt>
                <c:pt idx="41">
                  <c:v>34486</c:v>
                </c:pt>
                <c:pt idx="42">
                  <c:v>34516</c:v>
                </c:pt>
                <c:pt idx="43">
                  <c:v>34547</c:v>
                </c:pt>
                <c:pt idx="44">
                  <c:v>34578</c:v>
                </c:pt>
                <c:pt idx="45">
                  <c:v>34608</c:v>
                </c:pt>
                <c:pt idx="46">
                  <c:v>34639</c:v>
                </c:pt>
                <c:pt idx="47">
                  <c:v>34669</c:v>
                </c:pt>
                <c:pt idx="48">
                  <c:v>34700</c:v>
                </c:pt>
                <c:pt idx="49">
                  <c:v>34731</c:v>
                </c:pt>
                <c:pt idx="50">
                  <c:v>34759</c:v>
                </c:pt>
                <c:pt idx="51">
                  <c:v>34790</c:v>
                </c:pt>
                <c:pt idx="52">
                  <c:v>34820</c:v>
                </c:pt>
                <c:pt idx="53">
                  <c:v>34851</c:v>
                </c:pt>
                <c:pt idx="54">
                  <c:v>34881</c:v>
                </c:pt>
                <c:pt idx="55">
                  <c:v>34912</c:v>
                </c:pt>
                <c:pt idx="56">
                  <c:v>34943</c:v>
                </c:pt>
                <c:pt idx="57">
                  <c:v>34973</c:v>
                </c:pt>
                <c:pt idx="58">
                  <c:v>35004</c:v>
                </c:pt>
                <c:pt idx="59">
                  <c:v>35034</c:v>
                </c:pt>
                <c:pt idx="60">
                  <c:v>35065</c:v>
                </c:pt>
                <c:pt idx="61">
                  <c:v>35096</c:v>
                </c:pt>
                <c:pt idx="62">
                  <c:v>35125</c:v>
                </c:pt>
                <c:pt idx="63">
                  <c:v>35156</c:v>
                </c:pt>
                <c:pt idx="64">
                  <c:v>35186</c:v>
                </c:pt>
                <c:pt idx="65">
                  <c:v>35217</c:v>
                </c:pt>
                <c:pt idx="66">
                  <c:v>35247</c:v>
                </c:pt>
                <c:pt idx="67">
                  <c:v>35278</c:v>
                </c:pt>
                <c:pt idx="68">
                  <c:v>35309</c:v>
                </c:pt>
                <c:pt idx="69">
                  <c:v>35339</c:v>
                </c:pt>
                <c:pt idx="70">
                  <c:v>35370</c:v>
                </c:pt>
                <c:pt idx="71">
                  <c:v>35400</c:v>
                </c:pt>
                <c:pt idx="72">
                  <c:v>35431</c:v>
                </c:pt>
                <c:pt idx="73">
                  <c:v>35462</c:v>
                </c:pt>
                <c:pt idx="74">
                  <c:v>35490</c:v>
                </c:pt>
                <c:pt idx="75">
                  <c:v>35521</c:v>
                </c:pt>
                <c:pt idx="76">
                  <c:v>35551</c:v>
                </c:pt>
                <c:pt idx="77">
                  <c:v>35582</c:v>
                </c:pt>
                <c:pt idx="78">
                  <c:v>35612</c:v>
                </c:pt>
                <c:pt idx="79">
                  <c:v>35643</c:v>
                </c:pt>
                <c:pt idx="80">
                  <c:v>35674</c:v>
                </c:pt>
                <c:pt idx="81">
                  <c:v>35704</c:v>
                </c:pt>
                <c:pt idx="82">
                  <c:v>35735</c:v>
                </c:pt>
                <c:pt idx="83">
                  <c:v>35765</c:v>
                </c:pt>
                <c:pt idx="84">
                  <c:v>35796</c:v>
                </c:pt>
                <c:pt idx="85">
                  <c:v>35827</c:v>
                </c:pt>
                <c:pt idx="86">
                  <c:v>35855</c:v>
                </c:pt>
                <c:pt idx="87">
                  <c:v>35886</c:v>
                </c:pt>
                <c:pt idx="88">
                  <c:v>35916</c:v>
                </c:pt>
                <c:pt idx="89">
                  <c:v>35947</c:v>
                </c:pt>
                <c:pt idx="90">
                  <c:v>35977</c:v>
                </c:pt>
                <c:pt idx="91">
                  <c:v>36008</c:v>
                </c:pt>
                <c:pt idx="92">
                  <c:v>36039</c:v>
                </c:pt>
                <c:pt idx="93">
                  <c:v>36069</c:v>
                </c:pt>
                <c:pt idx="94">
                  <c:v>36100</c:v>
                </c:pt>
                <c:pt idx="95">
                  <c:v>36130</c:v>
                </c:pt>
                <c:pt idx="96">
                  <c:v>36161</c:v>
                </c:pt>
                <c:pt idx="97">
                  <c:v>36192</c:v>
                </c:pt>
                <c:pt idx="98">
                  <c:v>36220</c:v>
                </c:pt>
                <c:pt idx="99">
                  <c:v>36251</c:v>
                </c:pt>
                <c:pt idx="100">
                  <c:v>36281</c:v>
                </c:pt>
                <c:pt idx="101">
                  <c:v>36312</c:v>
                </c:pt>
                <c:pt idx="102">
                  <c:v>36342</c:v>
                </c:pt>
                <c:pt idx="103">
                  <c:v>36373</c:v>
                </c:pt>
                <c:pt idx="104">
                  <c:v>36404</c:v>
                </c:pt>
                <c:pt idx="105">
                  <c:v>36434</c:v>
                </c:pt>
                <c:pt idx="106">
                  <c:v>36465</c:v>
                </c:pt>
                <c:pt idx="107">
                  <c:v>36495</c:v>
                </c:pt>
                <c:pt idx="108">
                  <c:v>36526</c:v>
                </c:pt>
                <c:pt idx="109">
                  <c:v>36557</c:v>
                </c:pt>
                <c:pt idx="110">
                  <c:v>36586</c:v>
                </c:pt>
                <c:pt idx="111">
                  <c:v>36617</c:v>
                </c:pt>
                <c:pt idx="112">
                  <c:v>36647</c:v>
                </c:pt>
                <c:pt idx="113">
                  <c:v>36678</c:v>
                </c:pt>
                <c:pt idx="114">
                  <c:v>36708</c:v>
                </c:pt>
                <c:pt idx="115">
                  <c:v>36739</c:v>
                </c:pt>
                <c:pt idx="116">
                  <c:v>36770</c:v>
                </c:pt>
                <c:pt idx="117">
                  <c:v>36800</c:v>
                </c:pt>
                <c:pt idx="118">
                  <c:v>36831</c:v>
                </c:pt>
                <c:pt idx="119">
                  <c:v>36861</c:v>
                </c:pt>
                <c:pt idx="120">
                  <c:v>36892</c:v>
                </c:pt>
                <c:pt idx="121">
                  <c:v>36923</c:v>
                </c:pt>
                <c:pt idx="122">
                  <c:v>36951</c:v>
                </c:pt>
                <c:pt idx="123">
                  <c:v>36982</c:v>
                </c:pt>
                <c:pt idx="124">
                  <c:v>37012</c:v>
                </c:pt>
                <c:pt idx="125">
                  <c:v>37043</c:v>
                </c:pt>
                <c:pt idx="126">
                  <c:v>37073</c:v>
                </c:pt>
                <c:pt idx="127">
                  <c:v>37104</c:v>
                </c:pt>
                <c:pt idx="128">
                  <c:v>37135</c:v>
                </c:pt>
                <c:pt idx="129">
                  <c:v>37165</c:v>
                </c:pt>
                <c:pt idx="130">
                  <c:v>37196</c:v>
                </c:pt>
                <c:pt idx="131">
                  <c:v>37226</c:v>
                </c:pt>
                <c:pt idx="132">
                  <c:v>37257</c:v>
                </c:pt>
                <c:pt idx="133">
                  <c:v>37288</c:v>
                </c:pt>
                <c:pt idx="134">
                  <c:v>37316</c:v>
                </c:pt>
                <c:pt idx="135">
                  <c:v>37347</c:v>
                </c:pt>
                <c:pt idx="136">
                  <c:v>37377</c:v>
                </c:pt>
                <c:pt idx="137">
                  <c:v>37408</c:v>
                </c:pt>
                <c:pt idx="138">
                  <c:v>37438</c:v>
                </c:pt>
                <c:pt idx="139">
                  <c:v>37469</c:v>
                </c:pt>
                <c:pt idx="140">
                  <c:v>37500</c:v>
                </c:pt>
                <c:pt idx="141">
                  <c:v>37530</c:v>
                </c:pt>
                <c:pt idx="142">
                  <c:v>37561</c:v>
                </c:pt>
                <c:pt idx="143">
                  <c:v>37591</c:v>
                </c:pt>
                <c:pt idx="144">
                  <c:v>37622</c:v>
                </c:pt>
                <c:pt idx="145">
                  <c:v>37653</c:v>
                </c:pt>
                <c:pt idx="146">
                  <c:v>37681</c:v>
                </c:pt>
                <c:pt idx="147">
                  <c:v>37712</c:v>
                </c:pt>
                <c:pt idx="148">
                  <c:v>37742</c:v>
                </c:pt>
                <c:pt idx="149">
                  <c:v>37773</c:v>
                </c:pt>
                <c:pt idx="150">
                  <c:v>37803</c:v>
                </c:pt>
                <c:pt idx="151">
                  <c:v>37834</c:v>
                </c:pt>
                <c:pt idx="152">
                  <c:v>37865</c:v>
                </c:pt>
                <c:pt idx="153">
                  <c:v>37895</c:v>
                </c:pt>
                <c:pt idx="154">
                  <c:v>37926</c:v>
                </c:pt>
                <c:pt idx="155">
                  <c:v>37956</c:v>
                </c:pt>
                <c:pt idx="156">
                  <c:v>37987</c:v>
                </c:pt>
                <c:pt idx="157">
                  <c:v>38018</c:v>
                </c:pt>
                <c:pt idx="158">
                  <c:v>38047</c:v>
                </c:pt>
                <c:pt idx="159">
                  <c:v>38078</c:v>
                </c:pt>
                <c:pt idx="160">
                  <c:v>38108</c:v>
                </c:pt>
                <c:pt idx="161">
                  <c:v>38139</c:v>
                </c:pt>
                <c:pt idx="162">
                  <c:v>38169</c:v>
                </c:pt>
                <c:pt idx="163">
                  <c:v>38200</c:v>
                </c:pt>
                <c:pt idx="164">
                  <c:v>38231</c:v>
                </c:pt>
                <c:pt idx="165">
                  <c:v>38261</c:v>
                </c:pt>
                <c:pt idx="166">
                  <c:v>38292</c:v>
                </c:pt>
                <c:pt idx="167">
                  <c:v>38322</c:v>
                </c:pt>
                <c:pt idx="168">
                  <c:v>38353</c:v>
                </c:pt>
                <c:pt idx="169">
                  <c:v>38384</c:v>
                </c:pt>
                <c:pt idx="170">
                  <c:v>38412</c:v>
                </c:pt>
                <c:pt idx="171">
                  <c:v>38443</c:v>
                </c:pt>
                <c:pt idx="172">
                  <c:v>38473</c:v>
                </c:pt>
                <c:pt idx="173">
                  <c:v>38504</c:v>
                </c:pt>
                <c:pt idx="174">
                  <c:v>38534</c:v>
                </c:pt>
                <c:pt idx="175">
                  <c:v>38565</c:v>
                </c:pt>
                <c:pt idx="176">
                  <c:v>38596</c:v>
                </c:pt>
                <c:pt idx="177">
                  <c:v>38626</c:v>
                </c:pt>
                <c:pt idx="178">
                  <c:v>38657</c:v>
                </c:pt>
                <c:pt idx="179">
                  <c:v>38687</c:v>
                </c:pt>
                <c:pt idx="180">
                  <c:v>38718</c:v>
                </c:pt>
                <c:pt idx="181">
                  <c:v>38749</c:v>
                </c:pt>
                <c:pt idx="182">
                  <c:v>38777</c:v>
                </c:pt>
                <c:pt idx="183">
                  <c:v>38808</c:v>
                </c:pt>
                <c:pt idx="184">
                  <c:v>38838</c:v>
                </c:pt>
                <c:pt idx="185">
                  <c:v>38869</c:v>
                </c:pt>
                <c:pt idx="186">
                  <c:v>38899</c:v>
                </c:pt>
                <c:pt idx="187">
                  <c:v>38930</c:v>
                </c:pt>
                <c:pt idx="188">
                  <c:v>38961</c:v>
                </c:pt>
                <c:pt idx="189">
                  <c:v>38991</c:v>
                </c:pt>
                <c:pt idx="190">
                  <c:v>39022</c:v>
                </c:pt>
                <c:pt idx="191">
                  <c:v>39052</c:v>
                </c:pt>
                <c:pt idx="192">
                  <c:v>39083</c:v>
                </c:pt>
                <c:pt idx="193">
                  <c:v>39114</c:v>
                </c:pt>
                <c:pt idx="194">
                  <c:v>39142</c:v>
                </c:pt>
                <c:pt idx="195">
                  <c:v>39173</c:v>
                </c:pt>
                <c:pt idx="196">
                  <c:v>39203</c:v>
                </c:pt>
                <c:pt idx="197">
                  <c:v>39234</c:v>
                </c:pt>
                <c:pt idx="198">
                  <c:v>39264</c:v>
                </c:pt>
                <c:pt idx="199">
                  <c:v>39295</c:v>
                </c:pt>
                <c:pt idx="200">
                  <c:v>39326</c:v>
                </c:pt>
                <c:pt idx="201">
                  <c:v>39356</c:v>
                </c:pt>
                <c:pt idx="202">
                  <c:v>39387</c:v>
                </c:pt>
                <c:pt idx="203">
                  <c:v>39417</c:v>
                </c:pt>
                <c:pt idx="204">
                  <c:v>39448</c:v>
                </c:pt>
                <c:pt idx="205">
                  <c:v>39479</c:v>
                </c:pt>
                <c:pt idx="206">
                  <c:v>39508</c:v>
                </c:pt>
                <c:pt idx="207">
                  <c:v>39539</c:v>
                </c:pt>
                <c:pt idx="208">
                  <c:v>39569</c:v>
                </c:pt>
                <c:pt idx="209">
                  <c:v>39600</c:v>
                </c:pt>
                <c:pt idx="210">
                  <c:v>39630</c:v>
                </c:pt>
                <c:pt idx="211">
                  <c:v>39661</c:v>
                </c:pt>
                <c:pt idx="212">
                  <c:v>39692</c:v>
                </c:pt>
                <c:pt idx="213">
                  <c:v>39722</c:v>
                </c:pt>
                <c:pt idx="214">
                  <c:v>39753</c:v>
                </c:pt>
                <c:pt idx="215">
                  <c:v>39783</c:v>
                </c:pt>
                <c:pt idx="216">
                  <c:v>39814</c:v>
                </c:pt>
                <c:pt idx="217">
                  <c:v>39845</c:v>
                </c:pt>
                <c:pt idx="218">
                  <c:v>39873</c:v>
                </c:pt>
                <c:pt idx="219">
                  <c:v>39904</c:v>
                </c:pt>
                <c:pt idx="220">
                  <c:v>39934</c:v>
                </c:pt>
                <c:pt idx="221">
                  <c:v>39965</c:v>
                </c:pt>
                <c:pt idx="222">
                  <c:v>39995</c:v>
                </c:pt>
                <c:pt idx="223">
                  <c:v>40026</c:v>
                </c:pt>
                <c:pt idx="224">
                  <c:v>40057</c:v>
                </c:pt>
                <c:pt idx="225">
                  <c:v>40087</c:v>
                </c:pt>
                <c:pt idx="226">
                  <c:v>40118</c:v>
                </c:pt>
                <c:pt idx="227">
                  <c:v>40148</c:v>
                </c:pt>
                <c:pt idx="228">
                  <c:v>40179</c:v>
                </c:pt>
                <c:pt idx="229">
                  <c:v>40210</c:v>
                </c:pt>
                <c:pt idx="230">
                  <c:v>40238</c:v>
                </c:pt>
                <c:pt idx="231">
                  <c:v>40269</c:v>
                </c:pt>
                <c:pt idx="232">
                  <c:v>40299</c:v>
                </c:pt>
                <c:pt idx="233">
                  <c:v>40330</c:v>
                </c:pt>
                <c:pt idx="234">
                  <c:v>40360</c:v>
                </c:pt>
                <c:pt idx="235">
                  <c:v>40391</c:v>
                </c:pt>
                <c:pt idx="236">
                  <c:v>40422</c:v>
                </c:pt>
                <c:pt idx="237">
                  <c:v>40452</c:v>
                </c:pt>
                <c:pt idx="238">
                  <c:v>40483</c:v>
                </c:pt>
                <c:pt idx="239">
                  <c:v>40513</c:v>
                </c:pt>
                <c:pt idx="240">
                  <c:v>40544</c:v>
                </c:pt>
                <c:pt idx="241">
                  <c:v>40575</c:v>
                </c:pt>
                <c:pt idx="242">
                  <c:v>40603</c:v>
                </c:pt>
                <c:pt idx="243">
                  <c:v>40634</c:v>
                </c:pt>
                <c:pt idx="244">
                  <c:v>40664</c:v>
                </c:pt>
                <c:pt idx="245">
                  <c:v>40695</c:v>
                </c:pt>
                <c:pt idx="246">
                  <c:v>40725</c:v>
                </c:pt>
                <c:pt idx="247">
                  <c:v>40756</c:v>
                </c:pt>
                <c:pt idx="248">
                  <c:v>40787</c:v>
                </c:pt>
                <c:pt idx="249">
                  <c:v>40817</c:v>
                </c:pt>
                <c:pt idx="250">
                  <c:v>40848</c:v>
                </c:pt>
                <c:pt idx="251">
                  <c:v>40878</c:v>
                </c:pt>
                <c:pt idx="252">
                  <c:v>40909</c:v>
                </c:pt>
                <c:pt idx="253">
                  <c:v>40940</c:v>
                </c:pt>
                <c:pt idx="254">
                  <c:v>40969</c:v>
                </c:pt>
                <c:pt idx="255">
                  <c:v>41000</c:v>
                </c:pt>
                <c:pt idx="256">
                  <c:v>41030</c:v>
                </c:pt>
                <c:pt idx="257">
                  <c:v>41061</c:v>
                </c:pt>
                <c:pt idx="258">
                  <c:v>41091</c:v>
                </c:pt>
                <c:pt idx="259">
                  <c:v>41122</c:v>
                </c:pt>
                <c:pt idx="260">
                  <c:v>41153</c:v>
                </c:pt>
                <c:pt idx="261">
                  <c:v>41183</c:v>
                </c:pt>
                <c:pt idx="262">
                  <c:v>41214</c:v>
                </c:pt>
                <c:pt idx="263">
                  <c:v>41244</c:v>
                </c:pt>
                <c:pt idx="264">
                  <c:v>41275</c:v>
                </c:pt>
                <c:pt idx="265">
                  <c:v>41306</c:v>
                </c:pt>
                <c:pt idx="266">
                  <c:v>41334</c:v>
                </c:pt>
                <c:pt idx="267">
                  <c:v>41365</c:v>
                </c:pt>
                <c:pt idx="268">
                  <c:v>41395</c:v>
                </c:pt>
                <c:pt idx="269">
                  <c:v>41426</c:v>
                </c:pt>
                <c:pt idx="270">
                  <c:v>41456</c:v>
                </c:pt>
                <c:pt idx="271">
                  <c:v>41487</c:v>
                </c:pt>
                <c:pt idx="272">
                  <c:v>41518</c:v>
                </c:pt>
                <c:pt idx="273">
                  <c:v>41548</c:v>
                </c:pt>
                <c:pt idx="274">
                  <c:v>41579</c:v>
                </c:pt>
                <c:pt idx="275">
                  <c:v>41609</c:v>
                </c:pt>
                <c:pt idx="276">
                  <c:v>41640</c:v>
                </c:pt>
                <c:pt idx="277">
                  <c:v>41671</c:v>
                </c:pt>
                <c:pt idx="278">
                  <c:v>41699</c:v>
                </c:pt>
                <c:pt idx="279">
                  <c:v>41730</c:v>
                </c:pt>
                <c:pt idx="280">
                  <c:v>41760</c:v>
                </c:pt>
                <c:pt idx="281">
                  <c:v>41791</c:v>
                </c:pt>
                <c:pt idx="282">
                  <c:v>41821</c:v>
                </c:pt>
                <c:pt idx="283">
                  <c:v>41852</c:v>
                </c:pt>
                <c:pt idx="284">
                  <c:v>41883</c:v>
                </c:pt>
                <c:pt idx="285">
                  <c:v>41913</c:v>
                </c:pt>
                <c:pt idx="286">
                  <c:v>41944</c:v>
                </c:pt>
                <c:pt idx="287">
                  <c:v>41974</c:v>
                </c:pt>
                <c:pt idx="288">
                  <c:v>42005</c:v>
                </c:pt>
                <c:pt idx="289">
                  <c:v>42036</c:v>
                </c:pt>
                <c:pt idx="290">
                  <c:v>42064</c:v>
                </c:pt>
                <c:pt idx="291">
                  <c:v>42095</c:v>
                </c:pt>
                <c:pt idx="292">
                  <c:v>42125</c:v>
                </c:pt>
                <c:pt idx="293">
                  <c:v>42156</c:v>
                </c:pt>
                <c:pt idx="294">
                  <c:v>42186</c:v>
                </c:pt>
                <c:pt idx="295">
                  <c:v>42217</c:v>
                </c:pt>
                <c:pt idx="296">
                  <c:v>42248</c:v>
                </c:pt>
                <c:pt idx="297">
                  <c:v>42278</c:v>
                </c:pt>
                <c:pt idx="298">
                  <c:v>42309</c:v>
                </c:pt>
                <c:pt idx="299">
                  <c:v>42339</c:v>
                </c:pt>
                <c:pt idx="300">
                  <c:v>42370</c:v>
                </c:pt>
                <c:pt idx="301">
                  <c:v>42401</c:v>
                </c:pt>
                <c:pt idx="302">
                  <c:v>42430</c:v>
                </c:pt>
                <c:pt idx="303">
                  <c:v>42461</c:v>
                </c:pt>
                <c:pt idx="304">
                  <c:v>42491</c:v>
                </c:pt>
                <c:pt idx="305">
                  <c:v>42522</c:v>
                </c:pt>
                <c:pt idx="306">
                  <c:v>42552</c:v>
                </c:pt>
                <c:pt idx="307">
                  <c:v>42583</c:v>
                </c:pt>
                <c:pt idx="308">
                  <c:v>42614</c:v>
                </c:pt>
                <c:pt idx="309">
                  <c:v>42644</c:v>
                </c:pt>
                <c:pt idx="310">
                  <c:v>42675</c:v>
                </c:pt>
                <c:pt idx="311">
                  <c:v>42705</c:v>
                </c:pt>
                <c:pt idx="312">
                  <c:v>42736</c:v>
                </c:pt>
                <c:pt idx="313">
                  <c:v>42767</c:v>
                </c:pt>
                <c:pt idx="314">
                  <c:v>42795</c:v>
                </c:pt>
                <c:pt idx="315">
                  <c:v>42826</c:v>
                </c:pt>
                <c:pt idx="316">
                  <c:v>42856</c:v>
                </c:pt>
                <c:pt idx="317">
                  <c:v>42887</c:v>
                </c:pt>
                <c:pt idx="318">
                  <c:v>42917</c:v>
                </c:pt>
                <c:pt idx="319">
                  <c:v>42948</c:v>
                </c:pt>
                <c:pt idx="320">
                  <c:v>42979</c:v>
                </c:pt>
                <c:pt idx="321">
                  <c:v>43009</c:v>
                </c:pt>
                <c:pt idx="322">
                  <c:v>43040</c:v>
                </c:pt>
                <c:pt idx="323">
                  <c:v>43070</c:v>
                </c:pt>
                <c:pt idx="324">
                  <c:v>43101</c:v>
                </c:pt>
                <c:pt idx="325">
                  <c:v>43132</c:v>
                </c:pt>
                <c:pt idx="326">
                  <c:v>43160</c:v>
                </c:pt>
                <c:pt idx="327">
                  <c:v>43191</c:v>
                </c:pt>
                <c:pt idx="328">
                  <c:v>43221</c:v>
                </c:pt>
                <c:pt idx="329">
                  <c:v>43252</c:v>
                </c:pt>
                <c:pt idx="330">
                  <c:v>43282</c:v>
                </c:pt>
                <c:pt idx="331">
                  <c:v>43313</c:v>
                </c:pt>
                <c:pt idx="332">
                  <c:v>43344</c:v>
                </c:pt>
                <c:pt idx="333">
                  <c:v>43374</c:v>
                </c:pt>
                <c:pt idx="334">
                  <c:v>43405</c:v>
                </c:pt>
                <c:pt idx="335">
                  <c:v>43435</c:v>
                </c:pt>
                <c:pt idx="336">
                  <c:v>43466</c:v>
                </c:pt>
                <c:pt idx="337">
                  <c:v>43497</c:v>
                </c:pt>
                <c:pt idx="338">
                  <c:v>43525</c:v>
                </c:pt>
                <c:pt idx="339">
                  <c:v>43556</c:v>
                </c:pt>
                <c:pt idx="340">
                  <c:v>43586</c:v>
                </c:pt>
                <c:pt idx="341">
                  <c:v>43617</c:v>
                </c:pt>
                <c:pt idx="342">
                  <c:v>43647</c:v>
                </c:pt>
                <c:pt idx="343">
                  <c:v>43678</c:v>
                </c:pt>
                <c:pt idx="344">
                  <c:v>43709</c:v>
                </c:pt>
                <c:pt idx="345">
                  <c:v>43739</c:v>
                </c:pt>
                <c:pt idx="346">
                  <c:v>43770</c:v>
                </c:pt>
                <c:pt idx="347">
                  <c:v>43800</c:v>
                </c:pt>
                <c:pt idx="348">
                  <c:v>43831</c:v>
                </c:pt>
                <c:pt idx="349">
                  <c:v>43862</c:v>
                </c:pt>
                <c:pt idx="350">
                  <c:v>43891</c:v>
                </c:pt>
                <c:pt idx="351">
                  <c:v>43922</c:v>
                </c:pt>
                <c:pt idx="352">
                  <c:v>43952</c:v>
                </c:pt>
                <c:pt idx="353">
                  <c:v>43983</c:v>
                </c:pt>
                <c:pt idx="354">
                  <c:v>44013</c:v>
                </c:pt>
                <c:pt idx="355">
                  <c:v>44044</c:v>
                </c:pt>
                <c:pt idx="356">
                  <c:v>44075</c:v>
                </c:pt>
                <c:pt idx="357">
                  <c:v>44105</c:v>
                </c:pt>
                <c:pt idx="358">
                  <c:v>44136</c:v>
                </c:pt>
                <c:pt idx="359">
                  <c:v>44166</c:v>
                </c:pt>
                <c:pt idx="360">
                  <c:v>44197</c:v>
                </c:pt>
                <c:pt idx="361">
                  <c:v>44228</c:v>
                </c:pt>
                <c:pt idx="362">
                  <c:v>44256</c:v>
                </c:pt>
                <c:pt idx="363">
                  <c:v>44287</c:v>
                </c:pt>
                <c:pt idx="364">
                  <c:v>44317</c:v>
                </c:pt>
                <c:pt idx="365">
                  <c:v>44348</c:v>
                </c:pt>
                <c:pt idx="366">
                  <c:v>44378</c:v>
                </c:pt>
                <c:pt idx="367">
                  <c:v>44409</c:v>
                </c:pt>
                <c:pt idx="368">
                  <c:v>44440</c:v>
                </c:pt>
                <c:pt idx="369">
                  <c:v>44470</c:v>
                </c:pt>
                <c:pt idx="370">
                  <c:v>44501</c:v>
                </c:pt>
                <c:pt idx="371">
                  <c:v>44531</c:v>
                </c:pt>
                <c:pt idx="372">
                  <c:v>44562</c:v>
                </c:pt>
                <c:pt idx="373">
                  <c:v>44593</c:v>
                </c:pt>
                <c:pt idx="374">
                  <c:v>44621</c:v>
                </c:pt>
                <c:pt idx="375">
                  <c:v>44652</c:v>
                </c:pt>
                <c:pt idx="376">
                  <c:v>44682</c:v>
                </c:pt>
                <c:pt idx="377">
                  <c:v>44713</c:v>
                </c:pt>
                <c:pt idx="378">
                  <c:v>44743</c:v>
                </c:pt>
                <c:pt idx="379">
                  <c:v>44774</c:v>
                </c:pt>
                <c:pt idx="380">
                  <c:v>44805</c:v>
                </c:pt>
                <c:pt idx="381">
                  <c:v>44835</c:v>
                </c:pt>
                <c:pt idx="382">
                  <c:v>44866</c:v>
                </c:pt>
                <c:pt idx="383">
                  <c:v>44896</c:v>
                </c:pt>
                <c:pt idx="384">
                  <c:v>44927</c:v>
                </c:pt>
                <c:pt idx="385">
                  <c:v>44958</c:v>
                </c:pt>
                <c:pt idx="386">
                  <c:v>44986</c:v>
                </c:pt>
                <c:pt idx="387">
                  <c:v>45017</c:v>
                </c:pt>
                <c:pt idx="388">
                  <c:v>45047</c:v>
                </c:pt>
                <c:pt idx="389">
                  <c:v>45078</c:v>
                </c:pt>
                <c:pt idx="390">
                  <c:v>45108</c:v>
                </c:pt>
                <c:pt idx="391">
                  <c:v>45139</c:v>
                </c:pt>
                <c:pt idx="392">
                  <c:v>45170</c:v>
                </c:pt>
                <c:pt idx="393">
                  <c:v>45200</c:v>
                </c:pt>
                <c:pt idx="394">
                  <c:v>45231</c:v>
                </c:pt>
                <c:pt idx="395">
                  <c:v>45261</c:v>
                </c:pt>
                <c:pt idx="396">
                  <c:v>45292</c:v>
                </c:pt>
                <c:pt idx="397">
                  <c:v>45323</c:v>
                </c:pt>
                <c:pt idx="398">
                  <c:v>45352</c:v>
                </c:pt>
                <c:pt idx="399">
                  <c:v>45383</c:v>
                </c:pt>
                <c:pt idx="400">
                  <c:v>45413</c:v>
                </c:pt>
                <c:pt idx="401">
                  <c:v>45444</c:v>
                </c:pt>
                <c:pt idx="402">
                  <c:v>45474</c:v>
                </c:pt>
                <c:pt idx="403">
                  <c:v>45505</c:v>
                </c:pt>
                <c:pt idx="404">
                  <c:v>45536</c:v>
                </c:pt>
                <c:pt idx="405">
                  <c:v>45566</c:v>
                </c:pt>
                <c:pt idx="406">
                  <c:v>45597</c:v>
                </c:pt>
                <c:pt idx="407">
                  <c:v>45627</c:v>
                </c:pt>
                <c:pt idx="408">
                  <c:v>45658</c:v>
                </c:pt>
                <c:pt idx="409">
                  <c:v>45689</c:v>
                </c:pt>
                <c:pt idx="410">
                  <c:v>45717</c:v>
                </c:pt>
                <c:pt idx="411">
                  <c:v>45748</c:v>
                </c:pt>
                <c:pt idx="412">
                  <c:v>45778</c:v>
                </c:pt>
                <c:pt idx="413">
                  <c:v>45809</c:v>
                </c:pt>
                <c:pt idx="414">
                  <c:v>45839</c:v>
                </c:pt>
                <c:pt idx="415">
                  <c:v>45870</c:v>
                </c:pt>
                <c:pt idx="416">
                  <c:v>45901</c:v>
                </c:pt>
                <c:pt idx="417">
                  <c:v>45931</c:v>
                </c:pt>
                <c:pt idx="418">
                  <c:v>45962</c:v>
                </c:pt>
                <c:pt idx="419">
                  <c:v>45992</c:v>
                </c:pt>
                <c:pt idx="420">
                  <c:v>46023</c:v>
                </c:pt>
                <c:pt idx="421">
                  <c:v>46054</c:v>
                </c:pt>
                <c:pt idx="422">
                  <c:v>46082</c:v>
                </c:pt>
                <c:pt idx="423">
                  <c:v>46113</c:v>
                </c:pt>
                <c:pt idx="424">
                  <c:v>46143</c:v>
                </c:pt>
                <c:pt idx="425">
                  <c:v>46174</c:v>
                </c:pt>
                <c:pt idx="426">
                  <c:v>46204</c:v>
                </c:pt>
                <c:pt idx="427">
                  <c:v>46235</c:v>
                </c:pt>
                <c:pt idx="428">
                  <c:v>46266</c:v>
                </c:pt>
                <c:pt idx="429">
                  <c:v>46296</c:v>
                </c:pt>
                <c:pt idx="430">
                  <c:v>46327</c:v>
                </c:pt>
                <c:pt idx="431">
                  <c:v>46357</c:v>
                </c:pt>
                <c:pt idx="432">
                  <c:v>46388</c:v>
                </c:pt>
              </c:numCache>
            </c:numRef>
          </c:cat>
          <c:val>
            <c:numRef>
              <c:f>'Input Data'!$G$2:$G$434</c:f>
              <c:numCache>
                <c:formatCode>General</c:formatCode>
                <c:ptCount val="433"/>
                <c:pt idx="84" formatCode="#,##0">
                  <c:v>4408333</c:v>
                </c:pt>
                <c:pt idx="85" formatCode="#,##0">
                  <c:v>3905870</c:v>
                </c:pt>
                <c:pt idx="86" formatCode="#,##0">
                  <c:v>5635641</c:v>
                </c:pt>
                <c:pt idx="87" formatCode="#,##0">
                  <c:v>5449121</c:v>
                </c:pt>
                <c:pt idx="88" formatCode="#,##0">
                  <c:v>5797109</c:v>
                </c:pt>
                <c:pt idx="89" formatCode="#,##0">
                  <c:v>5898855</c:v>
                </c:pt>
                <c:pt idx="90" formatCode="#,##0">
                  <c:v>5977555</c:v>
                </c:pt>
                <c:pt idx="91" formatCode="#,##0">
                  <c:v>6500848</c:v>
                </c:pt>
                <c:pt idx="92" formatCode="#,##0">
                  <c:v>6522362</c:v>
                </c:pt>
                <c:pt idx="93" formatCode="#,##0">
                  <c:v>6991437</c:v>
                </c:pt>
                <c:pt idx="94" formatCode="#,##0">
                  <c:v>5853867</c:v>
                </c:pt>
                <c:pt idx="95" formatCode="#,##0">
                  <c:v>6075246</c:v>
                </c:pt>
                <c:pt idx="96" formatCode="#,##0">
                  <c:v>6031664</c:v>
                </c:pt>
                <c:pt idx="97" formatCode="#,##0">
                  <c:v>5664744</c:v>
                </c:pt>
                <c:pt idx="98" formatCode="#,##0">
                  <c:v>6311636</c:v>
                </c:pt>
                <c:pt idx="99" formatCode="#,##0">
                  <c:v>5312856</c:v>
                </c:pt>
                <c:pt idx="100" formatCode="#,##0">
                  <c:v>4799128</c:v>
                </c:pt>
                <c:pt idx="101" formatCode="#,##0">
                  <c:v>3320307</c:v>
                </c:pt>
                <c:pt idx="102" formatCode="#,##0">
                  <c:v>3712829</c:v>
                </c:pt>
                <c:pt idx="103" formatCode="#,##0">
                  <c:v>3309678</c:v>
                </c:pt>
                <c:pt idx="104" formatCode="#,##0">
                  <c:v>3143145</c:v>
                </c:pt>
                <c:pt idx="105" formatCode="#,##0">
                  <c:v>2678927</c:v>
                </c:pt>
                <c:pt idx="106" formatCode="#,##0">
                  <c:v>1971645</c:v>
                </c:pt>
                <c:pt idx="107" formatCode="#,##0">
                  <c:v>1919915</c:v>
                </c:pt>
                <c:pt idx="108" formatCode="#,##0">
                  <c:v>1528642</c:v>
                </c:pt>
                <c:pt idx="109" formatCode="#,##0">
                  <c:v>1094882</c:v>
                </c:pt>
                <c:pt idx="110" formatCode="#,##0">
                  <c:v>2082287</c:v>
                </c:pt>
                <c:pt idx="111" formatCode="#,##0">
                  <c:v>2184768</c:v>
                </c:pt>
                <c:pt idx="112" formatCode="#,##0">
                  <c:v>1748522</c:v>
                </c:pt>
                <c:pt idx="113" formatCode="#,##0">
                  <c:v>2366208</c:v>
                </c:pt>
                <c:pt idx="114" formatCode="#,##0">
                  <c:v>1292709</c:v>
                </c:pt>
                <c:pt idx="115" formatCode="#,##0">
                  <c:v>1294102</c:v>
                </c:pt>
                <c:pt idx="116" formatCode="#,##0">
                  <c:v>1010491</c:v>
                </c:pt>
                <c:pt idx="117" formatCode="#,##0">
                  <c:v>1093080</c:v>
                </c:pt>
                <c:pt idx="118" formatCode="#,##0">
                  <c:v>1035865</c:v>
                </c:pt>
                <c:pt idx="119" formatCode="#,##0">
                  <c:v>836966</c:v>
                </c:pt>
                <c:pt idx="120" formatCode="#,##0">
                  <c:v>905880</c:v>
                </c:pt>
                <c:pt idx="121" formatCode="#,##0">
                  <c:v>889718</c:v>
                </c:pt>
                <c:pt idx="122" formatCode="#,##0">
                  <c:v>1427217</c:v>
                </c:pt>
                <c:pt idx="123" formatCode="#,##0">
                  <c:v>1274051</c:v>
                </c:pt>
                <c:pt idx="124" formatCode="#,##0">
                  <c:v>2255378</c:v>
                </c:pt>
                <c:pt idx="125" formatCode="#,##0">
                  <c:v>1707840</c:v>
                </c:pt>
                <c:pt idx="126" formatCode="#,##0">
                  <c:v>1898243</c:v>
                </c:pt>
                <c:pt idx="127" formatCode="#,##0">
                  <c:v>2855669</c:v>
                </c:pt>
                <c:pt idx="128" formatCode="#,##0">
                  <c:v>2534684</c:v>
                </c:pt>
                <c:pt idx="129" formatCode="#,##0">
                  <c:v>3134130</c:v>
                </c:pt>
                <c:pt idx="130" formatCode="#,##0">
                  <c:v>2967561</c:v>
                </c:pt>
                <c:pt idx="131" formatCode="#,##0">
                  <c:v>3392450</c:v>
                </c:pt>
                <c:pt idx="132" formatCode="#,##0">
                  <c:v>2493559</c:v>
                </c:pt>
                <c:pt idx="133" formatCode="#,##0">
                  <c:v>2133871</c:v>
                </c:pt>
                <c:pt idx="134" formatCode="#,##0">
                  <c:v>3008717</c:v>
                </c:pt>
                <c:pt idx="135" formatCode="#,##0">
                  <c:v>3022635</c:v>
                </c:pt>
                <c:pt idx="136" formatCode="#,##0">
                  <c:v>2736302</c:v>
                </c:pt>
                <c:pt idx="137" formatCode="#,##0">
                  <c:v>2968403</c:v>
                </c:pt>
                <c:pt idx="138" formatCode="#,##0">
                  <c:v>2968403</c:v>
                </c:pt>
                <c:pt idx="139" formatCode="#,##0">
                  <c:v>2620084</c:v>
                </c:pt>
                <c:pt idx="140" formatCode="#,##0">
                  <c:v>3022989</c:v>
                </c:pt>
                <c:pt idx="141" formatCode="#,##0">
                  <c:v>3065366</c:v>
                </c:pt>
                <c:pt idx="142" formatCode="#,##0">
                  <c:v>2819489</c:v>
                </c:pt>
                <c:pt idx="143" formatCode="#,##0">
                  <c:v>3005240</c:v>
                </c:pt>
                <c:pt idx="144" formatCode="#,##0">
                  <c:v>2950603</c:v>
                </c:pt>
                <c:pt idx="145" formatCode="#,##0">
                  <c:v>2779456</c:v>
                </c:pt>
                <c:pt idx="146" formatCode="#,##0">
                  <c:v>3129179</c:v>
                </c:pt>
                <c:pt idx="147" formatCode="#,##0">
                  <c:v>2909176</c:v>
                </c:pt>
                <c:pt idx="148" formatCode="#,##0">
                  <c:v>3346960</c:v>
                </c:pt>
                <c:pt idx="149" formatCode="#,##0">
                  <c:v>3253771</c:v>
                </c:pt>
                <c:pt idx="150" formatCode="#,##0">
                  <c:v>3671547</c:v>
                </c:pt>
                <c:pt idx="151" formatCode="#,##0">
                  <c:v>3853876</c:v>
                </c:pt>
                <c:pt idx="152" formatCode="#,##0">
                  <c:v>3608906</c:v>
                </c:pt>
                <c:pt idx="153" formatCode="#,##0">
                  <c:v>3768146</c:v>
                </c:pt>
                <c:pt idx="154" formatCode="#,##0">
                  <c:v>3500100</c:v>
                </c:pt>
                <c:pt idx="155" formatCode="#,##0">
                  <c:v>3320387</c:v>
                </c:pt>
                <c:pt idx="156" formatCode="#,##0">
                  <c:v>3397713</c:v>
                </c:pt>
                <c:pt idx="157" formatCode="#,##0">
                  <c:v>3591902</c:v>
                </c:pt>
                <c:pt idx="158" formatCode="#,##0">
                  <c:v>3996493</c:v>
                </c:pt>
                <c:pt idx="159" formatCode="#,##0">
                  <c:v>3724968</c:v>
                </c:pt>
                <c:pt idx="160" formatCode="#,##0">
                  <c:v>4004819</c:v>
                </c:pt>
                <c:pt idx="161" formatCode="#,##0">
                  <c:v>4081812</c:v>
                </c:pt>
                <c:pt idx="162" formatCode="#,##0">
                  <c:v>3823193</c:v>
                </c:pt>
                <c:pt idx="163" formatCode="#,##0">
                  <c:v>4062122</c:v>
                </c:pt>
                <c:pt idx="164" formatCode="#,##0">
                  <c:v>3610690</c:v>
                </c:pt>
                <c:pt idx="165" formatCode="#,##0">
                  <c:v>4205600</c:v>
                </c:pt>
                <c:pt idx="166" formatCode="#,##0">
                  <c:v>3841586</c:v>
                </c:pt>
                <c:pt idx="167" formatCode="#,##0">
                  <c:v>3576862</c:v>
                </c:pt>
                <c:pt idx="168" formatCode="#,##0">
                  <c:v>3964394</c:v>
                </c:pt>
                <c:pt idx="169" formatCode="#,##0">
                  <c:v>3562373</c:v>
                </c:pt>
                <c:pt idx="170" formatCode="#,##0">
                  <c:v>3987891</c:v>
                </c:pt>
                <c:pt idx="171" formatCode="#,##0">
                  <c:v>3933073</c:v>
                </c:pt>
                <c:pt idx="172" formatCode="#,##0">
                  <c:v>4100504</c:v>
                </c:pt>
                <c:pt idx="173" formatCode="#,##0">
                  <c:v>3877009</c:v>
                </c:pt>
                <c:pt idx="174" formatCode="#,##0">
                  <c:v>4460773</c:v>
                </c:pt>
                <c:pt idx="175" formatCode="#,##0">
                  <c:v>4544296</c:v>
                </c:pt>
                <c:pt idx="176" formatCode="#,##0">
                  <c:v>3781322</c:v>
                </c:pt>
                <c:pt idx="177" formatCode="#,##0">
                  <c:v>4532463</c:v>
                </c:pt>
                <c:pt idx="178" formatCode="#,##0">
                  <c:v>4291307</c:v>
                </c:pt>
                <c:pt idx="179" formatCode="#,##0">
                  <c:v>3764803</c:v>
                </c:pt>
                <c:pt idx="180" formatCode="#,##0">
                  <c:v>4063762</c:v>
                </c:pt>
                <c:pt idx="181" formatCode="#,##0">
                  <c:v>3269474</c:v>
                </c:pt>
                <c:pt idx="182" formatCode="#,##0">
                  <c:v>3715013</c:v>
                </c:pt>
                <c:pt idx="183" formatCode="#,##0">
                  <c:v>3390369</c:v>
                </c:pt>
                <c:pt idx="184" formatCode="#,##0">
                  <c:v>3761602</c:v>
                </c:pt>
                <c:pt idx="185" formatCode="#,##0">
                  <c:v>3736702</c:v>
                </c:pt>
                <c:pt idx="186" formatCode="#,##0">
                  <c:v>3387553</c:v>
                </c:pt>
                <c:pt idx="187" formatCode="#,##0">
                  <c:v>3236870</c:v>
                </c:pt>
                <c:pt idx="188" formatCode="#,##0">
                  <c:v>3402866</c:v>
                </c:pt>
                <c:pt idx="189" formatCode="#,##0">
                  <c:v>3591778</c:v>
                </c:pt>
                <c:pt idx="190" formatCode="#,##0">
                  <c:v>3317022</c:v>
                </c:pt>
                <c:pt idx="191" formatCode="#,##0">
                  <c:v>3268178</c:v>
                </c:pt>
                <c:pt idx="192" formatCode="#,##0">
                  <c:v>3069571</c:v>
                </c:pt>
                <c:pt idx="193" formatCode="#,##0">
                  <c:v>2292607</c:v>
                </c:pt>
                <c:pt idx="194" formatCode="#,##0">
                  <c:v>2985654</c:v>
                </c:pt>
                <c:pt idx="195" formatCode="#,##0">
                  <c:v>2673696</c:v>
                </c:pt>
                <c:pt idx="196" formatCode="#,##0">
                  <c:v>2953911</c:v>
                </c:pt>
                <c:pt idx="197" formatCode="#,##0">
                  <c:v>2584731</c:v>
                </c:pt>
                <c:pt idx="198" formatCode="#,##0">
                  <c:v>2758342</c:v>
                </c:pt>
                <c:pt idx="199" formatCode="#,##0">
                  <c:v>2741619</c:v>
                </c:pt>
                <c:pt idx="200" formatCode="#,##0">
                  <c:v>2800962</c:v>
                </c:pt>
                <c:pt idx="201" formatCode="#,##0">
                  <c:v>3002743</c:v>
                </c:pt>
                <c:pt idx="202" formatCode="#,##0">
                  <c:v>2968694</c:v>
                </c:pt>
                <c:pt idx="203" formatCode="#,##0">
                  <c:v>2778014</c:v>
                </c:pt>
                <c:pt idx="204" formatCode="#,##0">
                  <c:v>2825330</c:v>
                </c:pt>
                <c:pt idx="205" formatCode="#,##0">
                  <c:v>2733647</c:v>
                </c:pt>
                <c:pt idx="206" formatCode="#,##0">
                  <c:v>2457503</c:v>
                </c:pt>
                <c:pt idx="207" formatCode="#,##0">
                  <c:v>2240088</c:v>
                </c:pt>
                <c:pt idx="208" formatCode="#,##0">
                  <c:v>2810784</c:v>
                </c:pt>
                <c:pt idx="209" formatCode="#,##0">
                  <c:v>2859915</c:v>
                </c:pt>
                <c:pt idx="210" formatCode="#,##0">
                  <c:v>2950741</c:v>
                </c:pt>
                <c:pt idx="211" formatCode="#,##0">
                  <c:v>2638317</c:v>
                </c:pt>
                <c:pt idx="212" formatCode="#,##0">
                  <c:v>1266980</c:v>
                </c:pt>
                <c:pt idx="213" formatCode="#,##0">
                  <c:v>2744093</c:v>
                </c:pt>
                <c:pt idx="214" formatCode="#,##0">
                  <c:v>2223581</c:v>
                </c:pt>
                <c:pt idx="215" formatCode="#,##0">
                  <c:v>2188808</c:v>
                </c:pt>
                <c:pt idx="216" formatCode="#,##0">
                  <c:v>2383960</c:v>
                </c:pt>
                <c:pt idx="217" formatCode="#,##0">
                  <c:v>1997690</c:v>
                </c:pt>
                <c:pt idx="218" formatCode="#,##0">
                  <c:v>2340766</c:v>
                </c:pt>
                <c:pt idx="219" formatCode="#,##0">
                  <c:v>2483996</c:v>
                </c:pt>
                <c:pt idx="220" formatCode="#,##0">
                  <c:v>2702921</c:v>
                </c:pt>
                <c:pt idx="221" formatCode="#,##0">
                  <c:v>2575739</c:v>
                </c:pt>
                <c:pt idx="222" formatCode="#,##0">
                  <c:v>2991155</c:v>
                </c:pt>
                <c:pt idx="223" formatCode="#,##0">
                  <c:v>2835135</c:v>
                </c:pt>
                <c:pt idx="224" formatCode="#,##0">
                  <c:v>2521523</c:v>
                </c:pt>
                <c:pt idx="225" formatCode="#,##0">
                  <c:v>2625506</c:v>
                </c:pt>
                <c:pt idx="226" formatCode="#,##0">
                  <c:v>1976130</c:v>
                </c:pt>
                <c:pt idx="227" formatCode="#,##0">
                  <c:v>2331345</c:v>
                </c:pt>
                <c:pt idx="228" formatCode="#,##0">
                  <c:v>2236618</c:v>
                </c:pt>
                <c:pt idx="229" formatCode="#,##0">
                  <c:v>1283318</c:v>
                </c:pt>
                <c:pt idx="230" formatCode="#,##0">
                  <c:v>2521452</c:v>
                </c:pt>
                <c:pt idx="231" formatCode="#,##0">
                  <c:v>2162729</c:v>
                </c:pt>
                <c:pt idx="232" formatCode="#,##0">
                  <c:v>2668135</c:v>
                </c:pt>
                <c:pt idx="233" formatCode="#,##0">
                  <c:v>2723376</c:v>
                </c:pt>
                <c:pt idx="234" formatCode="#,##0">
                  <c:v>2389320</c:v>
                </c:pt>
                <c:pt idx="235" formatCode="#,##0">
                  <c:v>2617608</c:v>
                </c:pt>
                <c:pt idx="236" formatCode="#,##0">
                  <c:v>2335263</c:v>
                </c:pt>
                <c:pt idx="237" formatCode="#,##0">
                  <c:v>2505853</c:v>
                </c:pt>
                <c:pt idx="238" formatCode="#,##0">
                  <c:v>2207176</c:v>
                </c:pt>
                <c:pt idx="239" formatCode="#,##0">
                  <c:v>2309261</c:v>
                </c:pt>
                <c:pt idx="240" formatCode="#,##0">
                  <c:v>2411161</c:v>
                </c:pt>
                <c:pt idx="241" formatCode="#,##0">
                  <c:v>1871880</c:v>
                </c:pt>
                <c:pt idx="242" formatCode="#,##0">
                  <c:v>2261554</c:v>
                </c:pt>
                <c:pt idx="243" formatCode="#,##0">
                  <c:v>2222581</c:v>
                </c:pt>
                <c:pt idx="244" formatCode="#,##0">
                  <c:v>2219519</c:v>
                </c:pt>
                <c:pt idx="245" formatCode="#,##0">
                  <c:v>2080669</c:v>
                </c:pt>
                <c:pt idx="246" formatCode="#,##0">
                  <c:v>2203799</c:v>
                </c:pt>
                <c:pt idx="247" formatCode="#,##0">
                  <c:v>1903585</c:v>
                </c:pt>
                <c:pt idx="248" formatCode="#,##0">
                  <c:v>1765661</c:v>
                </c:pt>
                <c:pt idx="249" formatCode="#,##0">
                  <c:v>2206760</c:v>
                </c:pt>
                <c:pt idx="250" formatCode="#,##0">
                  <c:v>2036360</c:v>
                </c:pt>
                <c:pt idx="251" formatCode="#,##0">
                  <c:v>2108739</c:v>
                </c:pt>
                <c:pt idx="252" formatCode="#,##0">
                  <c:v>1868520</c:v>
                </c:pt>
                <c:pt idx="253" formatCode="#,##0">
                  <c:v>2021541</c:v>
                </c:pt>
                <c:pt idx="254" formatCode="#,##0">
                  <c:v>1807869</c:v>
                </c:pt>
                <c:pt idx="255" formatCode="#,##0">
                  <c:v>2097335</c:v>
                </c:pt>
                <c:pt idx="256" formatCode="#,##0">
                  <c:v>1865190</c:v>
                </c:pt>
                <c:pt idx="257" formatCode="#,##0">
                  <c:v>2099302</c:v>
                </c:pt>
                <c:pt idx="258" formatCode="#,##0">
                  <c:v>2020960</c:v>
                </c:pt>
                <c:pt idx="259" formatCode="#,##0">
                  <c:v>1410094</c:v>
                </c:pt>
                <c:pt idx="260" formatCode="#,##0">
                  <c:v>2077845</c:v>
                </c:pt>
                <c:pt idx="261" formatCode="#,##0">
                  <c:v>1855716</c:v>
                </c:pt>
                <c:pt idx="262" formatCode="#,##0">
                  <c:v>1736712</c:v>
                </c:pt>
                <c:pt idx="263" formatCode="#,##0">
                  <c:v>1508216</c:v>
                </c:pt>
                <c:pt idx="264" formatCode="#,##0">
                  <c:v>1882467</c:v>
                </c:pt>
                <c:pt idx="265" formatCode="#,##0">
                  <c:v>1859942</c:v>
                </c:pt>
                <c:pt idx="266" formatCode="#,##0">
                  <c:v>1924817</c:v>
                </c:pt>
                <c:pt idx="267" formatCode="#,##0">
                  <c:v>1887526</c:v>
                </c:pt>
                <c:pt idx="268" formatCode="#,##0">
                  <c:v>2079359</c:v>
                </c:pt>
                <c:pt idx="269" formatCode="#,##0">
                  <c:v>2464994</c:v>
                </c:pt>
                <c:pt idx="270" formatCode="#,##0">
                  <c:v>3353457</c:v>
                </c:pt>
                <c:pt idx="271" formatCode="#,##0">
                  <c:v>2350403</c:v>
                </c:pt>
                <c:pt idx="272" formatCode="#,##0">
                  <c:v>3170434</c:v>
                </c:pt>
                <c:pt idx="273" formatCode="#,##0">
                  <c:v>2560543</c:v>
                </c:pt>
                <c:pt idx="274" formatCode="#,##0">
                  <c:v>2374857</c:v>
                </c:pt>
                <c:pt idx="275" formatCode="#,##0">
                  <c:v>2359407</c:v>
                </c:pt>
                <c:pt idx="276" formatCode="#,##0">
                  <c:v>2140328</c:v>
                </c:pt>
                <c:pt idx="277" formatCode="#,##0">
                  <c:v>1956403</c:v>
                </c:pt>
                <c:pt idx="278" formatCode="#,##0">
                  <c:v>2113800</c:v>
                </c:pt>
                <c:pt idx="279" formatCode="#,##0">
                  <c:v>2265814</c:v>
                </c:pt>
                <c:pt idx="280" formatCode="#,##0">
                  <c:v>2899716</c:v>
                </c:pt>
                <c:pt idx="281" formatCode="#,##0">
                  <c:v>3082841</c:v>
                </c:pt>
                <c:pt idx="282" formatCode="#,##0">
                  <c:v>2819123</c:v>
                </c:pt>
                <c:pt idx="283" formatCode="#,##0">
                  <c:v>2695358</c:v>
                </c:pt>
                <c:pt idx="284" formatCode="#,##0">
                  <c:v>2685934</c:v>
                </c:pt>
                <c:pt idx="285" formatCode="#,##0">
                  <c:v>2600153</c:v>
                </c:pt>
                <c:pt idx="286" formatCode="#,##0">
                  <c:v>2827861</c:v>
                </c:pt>
                <c:pt idx="287" formatCode="#,##0">
                  <c:v>2691487</c:v>
                </c:pt>
                <c:pt idx="288" formatCode="#,##0">
                  <c:v>2590834</c:v>
                </c:pt>
                <c:pt idx="289" formatCode="#,##0">
                  <c:v>2275971</c:v>
                </c:pt>
                <c:pt idx="290" formatCode="#,##0">
                  <c:v>3529943</c:v>
                </c:pt>
                <c:pt idx="291" formatCode="#,##0">
                  <c:v>3367213</c:v>
                </c:pt>
                <c:pt idx="292" formatCode="#,##0">
                  <c:v>3352714</c:v>
                </c:pt>
                <c:pt idx="293" formatCode="#,##0">
                  <c:v>2850858</c:v>
                </c:pt>
                <c:pt idx="294" formatCode="#,##0">
                  <c:v>3028221</c:v>
                </c:pt>
                <c:pt idx="295" formatCode="#,##0">
                  <c:v>2985428</c:v>
                </c:pt>
                <c:pt idx="296" formatCode="#,##0">
                  <c:v>2556317</c:v>
                </c:pt>
                <c:pt idx="297" formatCode="#,##0">
                  <c:v>2825595</c:v>
                </c:pt>
                <c:pt idx="298" formatCode="#,##0">
                  <c:v>2536675</c:v>
                </c:pt>
                <c:pt idx="299" formatCode="#,##0">
                  <c:v>3108082</c:v>
                </c:pt>
                <c:pt idx="300" formatCode="#,##0">
                  <c:v>2538557</c:v>
                </c:pt>
                <c:pt idx="301" formatCode="#,##0">
                  <c:v>2682743</c:v>
                </c:pt>
                <c:pt idx="302" formatCode="#,##0">
                  <c:v>3216414</c:v>
                </c:pt>
                <c:pt idx="303" formatCode="#,##0">
                  <c:v>3095917</c:v>
                </c:pt>
                <c:pt idx="304" formatCode="#,##0">
                  <c:v>2244235</c:v>
                </c:pt>
                <c:pt idx="305" formatCode="#,##0">
                  <c:v>2111504</c:v>
                </c:pt>
                <c:pt idx="306" formatCode="#,##0">
                  <c:v>2611092</c:v>
                </c:pt>
                <c:pt idx="307" formatCode="#,##0">
                  <c:v>2884816</c:v>
                </c:pt>
                <c:pt idx="308" formatCode="#,##0">
                  <c:v>3170690</c:v>
                </c:pt>
                <c:pt idx="309" formatCode="#,##0">
                  <c:v>3489329</c:v>
                </c:pt>
                <c:pt idx="310" formatCode="#,##0">
                  <c:v>2707899</c:v>
                </c:pt>
                <c:pt idx="311" formatCode="#,##0">
                  <c:v>3003811</c:v>
                </c:pt>
                <c:pt idx="312" formatCode="#,##0">
                  <c:v>2311752</c:v>
                </c:pt>
                <c:pt idx="313" formatCode="#,##0">
                  <c:v>2153018</c:v>
                </c:pt>
                <c:pt idx="314" formatCode="#,##0">
                  <c:v>2858947</c:v>
                </c:pt>
                <c:pt idx="315" formatCode="#,##0">
                  <c:v>1862337</c:v>
                </c:pt>
                <c:pt idx="316" formatCode="#,##0">
                  <c:v>1905486</c:v>
                </c:pt>
                <c:pt idx="317" formatCode="#,##0">
                  <c:v>2564545</c:v>
                </c:pt>
                <c:pt idx="318" formatCode="#,##0">
                  <c:v>2584639</c:v>
                </c:pt>
                <c:pt idx="319" formatCode="#,##0">
                  <c:v>2263372</c:v>
                </c:pt>
                <c:pt idx="320" formatCode="#,##0">
                  <c:v>2566149</c:v>
                </c:pt>
                <c:pt idx="321" formatCode="#,##0">
                  <c:v>2871298</c:v>
                </c:pt>
                <c:pt idx="322" formatCode="#,##0">
                  <c:v>2853589</c:v>
                </c:pt>
                <c:pt idx="323" formatCode="#,##0">
                  <c:v>3235804</c:v>
                </c:pt>
                <c:pt idx="324" formatCode="#,##0">
                  <c:v>3149691</c:v>
                </c:pt>
                <c:pt idx="325" formatCode="#,##0">
                  <c:v>2799111</c:v>
                </c:pt>
                <c:pt idx="326" formatCode="#,##0">
                  <c:v>2749987</c:v>
                </c:pt>
                <c:pt idx="327" formatCode="#,##0">
                  <c:v>2495854</c:v>
                </c:pt>
                <c:pt idx="328" formatCode="#,##0">
                  <c:v>2537994</c:v>
                </c:pt>
                <c:pt idx="329" formatCode="#,##0">
                  <c:v>2307953</c:v>
                </c:pt>
                <c:pt idx="330" formatCode="#,##0">
                  <c:v>2435197</c:v>
                </c:pt>
                <c:pt idx="331" formatCode="#,##0">
                  <c:v>2887227</c:v>
                </c:pt>
                <c:pt idx="332" formatCode="#,##0">
                  <c:v>2461756</c:v>
                </c:pt>
                <c:pt idx="333" formatCode="#,##0">
                  <c:v>682738</c:v>
                </c:pt>
                <c:pt idx="334" formatCode="#,##0">
                  <c:v>548880</c:v>
                </c:pt>
                <c:pt idx="335" formatCode="#,##0">
                  <c:v>161257</c:v>
                </c:pt>
                <c:pt idx="336" formatCode="#,##0">
                  <c:v>770409</c:v>
                </c:pt>
                <c:pt idx="337" formatCode="#,##0">
                  <c:v>138463</c:v>
                </c:pt>
                <c:pt idx="338" formatCode="#,##0">
                  <c:v>718013</c:v>
                </c:pt>
                <c:pt idx="339" formatCode="#,##0">
                  <c:v>530862</c:v>
                </c:pt>
                <c:pt idx="340" formatCode="#,##0">
                  <c:v>827516</c:v>
                </c:pt>
                <c:pt idx="341" formatCode="#,##0">
                  <c:v>1559011</c:v>
                </c:pt>
                <c:pt idx="342" formatCode="#,##0">
                  <c:v>1615452</c:v>
                </c:pt>
                <c:pt idx="343" formatCode="#,##0">
                  <c:v>1510500</c:v>
                </c:pt>
                <c:pt idx="344" formatCode="#,##0">
                  <c:v>1995561</c:v>
                </c:pt>
                <c:pt idx="345" formatCode="#,##0">
                  <c:v>1666812</c:v>
                </c:pt>
                <c:pt idx="346" formatCode="#,##0">
                  <c:v>979322</c:v>
                </c:pt>
                <c:pt idx="347" formatCode="#,##0">
                  <c:v>1598960</c:v>
                </c:pt>
                <c:pt idx="348" formatCode="#,##0">
                  <c:v>1350820</c:v>
                </c:pt>
                <c:pt idx="349" formatCode="#,##0">
                  <c:v>1437965</c:v>
                </c:pt>
                <c:pt idx="350" formatCode="#,##0">
                  <c:v>1430968</c:v>
                </c:pt>
                <c:pt idx="351" formatCode="#,##0">
                  <c:v>1133166</c:v>
                </c:pt>
                <c:pt idx="352" formatCode="#,##0">
                  <c:v>1627536</c:v>
                </c:pt>
                <c:pt idx="353" formatCode="#,##0">
                  <c:v>1501380</c:v>
                </c:pt>
                <c:pt idx="354" formatCode="#,##0">
                  <c:v>1459539</c:v>
                </c:pt>
                <c:pt idx="355" formatCode="#,##0">
                  <c:v>937087</c:v>
                </c:pt>
                <c:pt idx="356" formatCode="#,##0">
                  <c:v>1360787</c:v>
                </c:pt>
                <c:pt idx="357" formatCode="#,##0">
                  <c:v>1027125</c:v>
                </c:pt>
                <c:pt idx="358" formatCode="#,##0">
                  <c:v>818263</c:v>
                </c:pt>
                <c:pt idx="359" formatCode="#,##0">
                  <c:v>1126800</c:v>
                </c:pt>
                <c:pt idx="360" formatCode="#,##0">
                  <c:v>1031836</c:v>
                </c:pt>
                <c:pt idx="361" formatCode="#,##0">
                  <c:v>688614</c:v>
                </c:pt>
                <c:pt idx="362" formatCode="#,##0">
                  <c:v>1152989</c:v>
                </c:pt>
                <c:pt idx="363" formatCode="#,##0">
                  <c:v>1255560</c:v>
                </c:pt>
                <c:pt idx="364" formatCode="#,##0">
                  <c:v>1581975</c:v>
                </c:pt>
                <c:pt idx="365" formatCode="#,##0">
                  <c:v>1021469</c:v>
                </c:pt>
                <c:pt idx="366" formatCode="#,##0">
                  <c:v>1795182</c:v>
                </c:pt>
                <c:pt idx="367" formatCode="#,##0">
                  <c:v>688999</c:v>
                </c:pt>
                <c:pt idx="368" formatCode="#,##0">
                  <c:v>955377</c:v>
                </c:pt>
                <c:pt idx="369" formatCode="#,##0">
                  <c:v>1363569</c:v>
                </c:pt>
                <c:pt idx="370" formatCode="#,##0">
                  <c:v>1117592</c:v>
                </c:pt>
                <c:pt idx="371" formatCode="#,##0">
                  <c:v>1559168</c:v>
                </c:pt>
                <c:pt idx="372" formatCode="#,##0">
                  <c:v>1133858</c:v>
                </c:pt>
                <c:pt idx="373" formatCode="#,##0">
                  <c:v>1285630</c:v>
                </c:pt>
                <c:pt idx="374" formatCode="#,##0">
                  <c:v>1819015</c:v>
                </c:pt>
                <c:pt idx="375" formatCode="#,##0">
                  <c:v>1046744</c:v>
                </c:pt>
                <c:pt idx="376" formatCode="#,##0">
                  <c:v>1303550</c:v>
                </c:pt>
                <c:pt idx="377" formatCode="#,##0">
                  <c:v>1323172</c:v>
                </c:pt>
                <c:pt idx="378" formatCode="#,##0">
                  <c:v>1206424</c:v>
                </c:pt>
                <c:pt idx="379" formatCode="#,##0">
                  <c:v>1405672</c:v>
                </c:pt>
                <c:pt idx="380" formatCode="#,##0">
                  <c:v>1142225</c:v>
                </c:pt>
                <c:pt idx="381" formatCode="#,##0">
                  <c:v>1362440</c:v>
                </c:pt>
                <c:pt idx="382" formatCode="#,##0">
                  <c:v>1391846</c:v>
                </c:pt>
                <c:pt idx="383" formatCode="#,##0">
                  <c:v>1237431</c:v>
                </c:pt>
                <c:pt idx="384" formatCode="#,##0">
                  <c:v>1138751</c:v>
                </c:pt>
                <c:pt idx="385" formatCode="#,##0">
                  <c:v>826196</c:v>
                </c:pt>
                <c:pt idx="386" formatCode="#,##0">
                  <c:v>1263128</c:v>
                </c:pt>
                <c:pt idx="387" formatCode="#,##0">
                  <c:v>1449421</c:v>
                </c:pt>
                <c:pt idx="388" formatCode="#,##0">
                  <c:v>1518015</c:v>
                </c:pt>
                <c:pt idx="389" formatCode="#,##0">
                  <c:v>863951</c:v>
                </c:pt>
                <c:pt idx="390" formatCode="#,##0">
                  <c:v>1126724</c:v>
                </c:pt>
                <c:pt idx="391" formatCode="#,##0">
                  <c:v>1429971</c:v>
                </c:pt>
                <c:pt idx="392" formatCode="#,##0">
                  <c:v>1195098</c:v>
                </c:pt>
                <c:pt idx="393" formatCode="#,##0">
                  <c:v>1091608</c:v>
                </c:pt>
                <c:pt idx="394" formatCode="#,##0">
                  <c:v>1100006</c:v>
                </c:pt>
                <c:pt idx="395" formatCode="#,##0">
                  <c:v>1004286</c:v>
                </c:pt>
                <c:pt idx="396" formatCode="#,##0">
                  <c:v>1475668</c:v>
                </c:pt>
                <c:pt idx="397" formatCode="#,##0">
                  <c:v>1142326</c:v>
                </c:pt>
                <c:pt idx="398" formatCode="#,##0">
                  <c:v>1485720</c:v>
                </c:pt>
                <c:pt idx="399" formatCode="#,##0">
                  <c:v>1418029</c:v>
                </c:pt>
                <c:pt idx="400" formatCode="#,##0">
                  <c:v>1354774</c:v>
                </c:pt>
                <c:pt idx="401" formatCode="#,##0">
                  <c:v>1842285</c:v>
                </c:pt>
                <c:pt idx="402" formatCode="#,##0">
                  <c:v>2487751</c:v>
                </c:pt>
                <c:pt idx="403" formatCode="#,##0">
                  <c:v>1787912</c:v>
                </c:pt>
                <c:pt idx="404" formatCode="#,##0">
                  <c:v>912346</c:v>
                </c:pt>
                <c:pt idx="405" formatCode="#,##0">
                  <c:v>1901072</c:v>
                </c:pt>
                <c:pt idx="406" formatCode="#,##0">
                  <c:v>1101301</c:v>
                </c:pt>
                <c:pt idx="407" formatCode="#,##0">
                  <c:v>2104576</c:v>
                </c:pt>
                <c:pt idx="408" formatCode="#,##0">
                  <c:v>1648403</c:v>
                </c:pt>
                <c:pt idx="409" formatCode="#,##0">
                  <c:v>1031877</c:v>
                </c:pt>
                <c:pt idx="410" formatCode="#,##0">
                  <c:v>1169053</c:v>
                </c:pt>
                <c:pt idx="411" formatCode="#,##0">
                  <c:v>1032335</c:v>
                </c:pt>
                <c:pt idx="412" formatCode="#,##0">
                  <c:v>1807583</c:v>
                </c:pt>
                <c:pt idx="413" formatCode="#,##0">
                  <c:v>1764487</c:v>
                </c:pt>
                <c:pt idx="414" formatCode="#,##0">
                  <c:v>1832802</c:v>
                </c:pt>
                <c:pt idx="415" formatCode="#,##0">
                  <c:v>1455217</c:v>
                </c:pt>
                <c:pt idx="416" formatCode="#,##0">
                  <c:v>1774439</c:v>
                </c:pt>
                <c:pt idx="417" formatCode="#,##0">
                  <c:v>1828783</c:v>
                </c:pt>
                <c:pt idx="418" formatCode="#,##0">
                  <c:v>1624126</c:v>
                </c:pt>
                <c:pt idx="419" formatCode="#,##0">
                  <c:v>1845351</c:v>
                </c:pt>
                <c:pt idx="420" formatCode="#,##0">
                  <c:v>1889933</c:v>
                </c:pt>
                <c:pt idx="421" formatCode="#,##0">
                  <c:v>1684804</c:v>
                </c:pt>
                <c:pt idx="422" formatCode="#,##0">
                  <c:v>2008291</c:v>
                </c:pt>
                <c:pt idx="423" formatCode="#,##0">
                  <c:v>1814123</c:v>
                </c:pt>
                <c:pt idx="424" formatCode="#,##0">
                  <c:v>1840084</c:v>
                </c:pt>
                <c:pt idx="425" formatCode="#,##0">
                  <c:v>1642595</c:v>
                </c:pt>
                <c:pt idx="426" formatCode="#,##0">
                  <c:v>2056795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3F-4647-A82A-78F890465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9019048"/>
        <c:axId val="719018720"/>
      </c:lineChart>
      <c:dateAx>
        <c:axId val="719003960"/>
        <c:scaling>
          <c:orientation val="minMax"/>
          <c:max val="46388"/>
          <c:min val="431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08552"/>
        <c:crosses val="autoZero"/>
        <c:auto val="1"/>
        <c:lblOffset val="100"/>
        <c:baseTimeUnit val="months"/>
        <c:majorUnit val="1"/>
        <c:majorTimeUnit val="months"/>
      </c:dateAx>
      <c:valAx>
        <c:axId val="719008552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Monthly Disposal (BPD)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03960"/>
        <c:crosses val="autoZero"/>
        <c:crossBetween val="between"/>
      </c:valAx>
      <c:valAx>
        <c:axId val="719018720"/>
        <c:scaling>
          <c:orientation val="minMax"/>
          <c:max val="400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</a:t>
                </a:r>
                <a:r>
                  <a:rPr lang="en-US" baseline="0"/>
                  <a:t> Shortfall (BBL)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19048"/>
        <c:crosses val="max"/>
        <c:crossBetween val="between"/>
      </c:valAx>
      <c:dateAx>
        <c:axId val="719019048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7190187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4365912923851819"/>
          <c:y val="0.86929499269819743"/>
          <c:w val="0.2008229825584526"/>
          <c:h val="2.7317422112512132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0EBB35-6CA1-427F-B572-59C0EBCBE3C6}">
  <sheetPr/>
  <sheetViews>
    <sheetView zoomScale="73" workbookViewId="0" zoomToFit="1"/>
  </sheetViews>
  <pageMargins left="0.25" right="0.25" top="0.75" bottom="0.75" header="0.3" footer="0.3"/>
  <pageSetup paperSize="5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E3634FC-B04D-4720-A891-F574D969CAA9}">
  <sheetPr/>
  <sheetViews>
    <sheetView zoomScale="116" workbookViewId="0" zoomToFit="1"/>
  </sheetViews>
  <pageMargins left="0.25" right="0.25" top="0.75" bottom="0.75" header="0.3" footer="0.3"/>
  <pageSetup paperSize="5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5F131CE-2F6E-4745-AA2B-8F0F67A7D7AA}">
  <sheetPr/>
  <sheetViews>
    <sheetView zoomScale="116" workbookViewId="0" zoomToFit="1"/>
  </sheetViews>
  <pageMargins left="0.25" right="0.25" top="0.75" bottom="0.75" header="0.3" footer="0.3"/>
  <pageSetup paperSize="5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225925" cy="628911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4F508-AD9C-4D47-9CD3-7A342A73EE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234698" cy="62897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FE327B-8F0B-443A-8432-103E1D789A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234698" cy="62897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5959C1-BDDB-43E0-AACA-ADC73C8DC9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1F9A-E2FE-4E8A-9B77-09EB22105F7C}">
  <dimension ref="A1:AB434"/>
  <sheetViews>
    <sheetView workbookViewId="0">
      <pane ySplit="1" topLeftCell="A410" activePane="bottomLeft" state="frozen"/>
      <selection pane="bottomLeft" activeCell="A86" sqref="A86:A428"/>
    </sheetView>
  </sheetViews>
  <sheetFormatPr defaultColWidth="8.85546875" defaultRowHeight="15" x14ac:dyDescent="0.25"/>
  <cols>
    <col min="1" max="1" width="8.42578125" customWidth="1"/>
    <col min="2" max="2" width="8" customWidth="1"/>
    <col min="3" max="3" width="12.42578125" customWidth="1"/>
    <col min="4" max="4" width="11.85546875" customWidth="1"/>
    <col min="5" max="5" width="9.42578125" customWidth="1"/>
    <col min="6" max="6" width="9" customWidth="1"/>
    <col min="7" max="7" width="12.7109375" customWidth="1"/>
    <col min="8" max="8" width="11.28515625" customWidth="1"/>
    <col min="9" max="9" width="15.7109375" customWidth="1"/>
    <col min="10" max="10" width="16.42578125" customWidth="1"/>
    <col min="11" max="11" width="17.42578125" customWidth="1"/>
    <col min="12" max="12" width="12.85546875" customWidth="1"/>
    <col min="13" max="14" width="16.28515625" customWidth="1"/>
    <col min="15" max="15" width="15.5703125" style="2" customWidth="1"/>
    <col min="16" max="16" width="14.140625" customWidth="1"/>
    <col min="18" max="18" width="11.7109375" customWidth="1"/>
    <col min="20" max="20" width="13.28515625" bestFit="1" customWidth="1"/>
    <col min="21" max="21" width="15" bestFit="1" customWidth="1"/>
    <col min="27" max="27" width="10" bestFit="1" customWidth="1"/>
    <col min="28" max="28" width="10.28515625" customWidth="1"/>
  </cols>
  <sheetData>
    <row r="1" spans="1:28" s="2" customFormat="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20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27</v>
      </c>
      <c r="AB1" s="1" t="s">
        <v>26</v>
      </c>
    </row>
    <row r="2" spans="1:28" s="17" customFormat="1" x14ac:dyDescent="0.25">
      <c r="A2" s="3">
        <v>33239</v>
      </c>
      <c r="B2">
        <v>31</v>
      </c>
      <c r="C2" s="4">
        <f>B2*D2</f>
        <v>29822000</v>
      </c>
      <c r="D2" s="18">
        <v>962000</v>
      </c>
      <c r="E2" s="19">
        <v>22.68</v>
      </c>
      <c r="N2" s="25"/>
    </row>
    <row r="3" spans="1:28" s="17" customFormat="1" x14ac:dyDescent="0.25">
      <c r="A3" s="3">
        <v>33270</v>
      </c>
      <c r="B3">
        <v>28</v>
      </c>
      <c r="C3" s="4">
        <f t="shared" ref="C3:C66" si="0">B3*D3</f>
        <v>27468000</v>
      </c>
      <c r="D3" s="18">
        <v>981000</v>
      </c>
      <c r="E3" s="19">
        <v>19.41</v>
      </c>
      <c r="N3" s="25"/>
    </row>
    <row r="4" spans="1:28" s="17" customFormat="1" x14ac:dyDescent="0.25">
      <c r="A4" s="3">
        <v>33298</v>
      </c>
      <c r="B4">
        <v>31</v>
      </c>
      <c r="C4" s="4">
        <f t="shared" si="0"/>
        <v>30783000</v>
      </c>
      <c r="D4" s="18">
        <v>993000</v>
      </c>
      <c r="E4" s="19">
        <v>18.399999999999999</v>
      </c>
      <c r="N4" s="25"/>
    </row>
    <row r="5" spans="1:28" s="17" customFormat="1" x14ac:dyDescent="0.25">
      <c r="A5" s="3">
        <v>33329</v>
      </c>
      <c r="B5">
        <v>30</v>
      </c>
      <c r="C5" s="4">
        <f t="shared" si="0"/>
        <v>30090000</v>
      </c>
      <c r="D5" s="18">
        <v>1003000</v>
      </c>
      <c r="E5" s="19">
        <v>19.350000000000001</v>
      </c>
      <c r="N5" s="25"/>
    </row>
    <row r="6" spans="1:28" s="17" customFormat="1" x14ac:dyDescent="0.25">
      <c r="A6" s="3">
        <v>33359</v>
      </c>
      <c r="B6">
        <v>31</v>
      </c>
      <c r="C6" s="4">
        <f t="shared" si="0"/>
        <v>30752000</v>
      </c>
      <c r="D6" s="18">
        <v>992000</v>
      </c>
      <c r="E6" s="19">
        <v>20.05</v>
      </c>
      <c r="N6" s="25"/>
    </row>
    <row r="7" spans="1:28" s="17" customFormat="1" x14ac:dyDescent="0.25">
      <c r="A7" s="3">
        <v>33390</v>
      </c>
      <c r="B7">
        <v>30</v>
      </c>
      <c r="C7" s="4">
        <f t="shared" si="0"/>
        <v>30150000</v>
      </c>
      <c r="D7" s="18">
        <v>1005000</v>
      </c>
      <c r="E7" s="19">
        <v>18.88</v>
      </c>
      <c r="N7" s="25"/>
    </row>
    <row r="8" spans="1:28" s="17" customFormat="1" x14ac:dyDescent="0.25">
      <c r="A8" s="3">
        <v>33420</v>
      </c>
      <c r="B8">
        <v>31</v>
      </c>
      <c r="C8" s="4">
        <f t="shared" si="0"/>
        <v>30752000</v>
      </c>
      <c r="D8" s="18">
        <v>992000</v>
      </c>
      <c r="E8" s="19">
        <v>19.87</v>
      </c>
      <c r="N8" s="25"/>
    </row>
    <row r="9" spans="1:28" s="17" customFormat="1" x14ac:dyDescent="0.25">
      <c r="A9" s="3">
        <v>33451</v>
      </c>
      <c r="B9">
        <v>31</v>
      </c>
      <c r="C9" s="4">
        <f t="shared" si="0"/>
        <v>31465000</v>
      </c>
      <c r="D9" s="18">
        <v>1015000</v>
      </c>
      <c r="E9" s="19">
        <v>20.5</v>
      </c>
      <c r="N9" s="25"/>
    </row>
    <row r="10" spans="1:28" s="17" customFormat="1" x14ac:dyDescent="0.25">
      <c r="A10" s="3">
        <v>33482</v>
      </c>
      <c r="B10">
        <v>30</v>
      </c>
      <c r="C10" s="4">
        <f t="shared" si="0"/>
        <v>30330000</v>
      </c>
      <c r="D10" s="18">
        <v>1011000</v>
      </c>
      <c r="E10" s="19">
        <v>20.51</v>
      </c>
      <c r="N10" s="25"/>
    </row>
    <row r="11" spans="1:28" s="17" customFormat="1" x14ac:dyDescent="0.25">
      <c r="A11" s="3">
        <v>33512</v>
      </c>
      <c r="B11">
        <v>31</v>
      </c>
      <c r="C11" s="4">
        <f t="shared" si="0"/>
        <v>31775000</v>
      </c>
      <c r="D11" s="18">
        <v>1025000</v>
      </c>
      <c r="E11" s="19">
        <v>21.51</v>
      </c>
      <c r="N11" s="25"/>
    </row>
    <row r="12" spans="1:28" s="17" customFormat="1" x14ac:dyDescent="0.25">
      <c r="A12" s="3">
        <v>33543</v>
      </c>
      <c r="B12">
        <v>30</v>
      </c>
      <c r="C12" s="4">
        <f t="shared" si="0"/>
        <v>30600000</v>
      </c>
      <c r="D12" s="18">
        <v>1020000</v>
      </c>
      <c r="E12" s="19">
        <v>21.26</v>
      </c>
      <c r="N12" s="25"/>
    </row>
    <row r="13" spans="1:28" s="17" customFormat="1" x14ac:dyDescent="0.25">
      <c r="A13" s="3">
        <v>33573</v>
      </c>
      <c r="B13">
        <v>31</v>
      </c>
      <c r="C13" s="4">
        <f t="shared" si="0"/>
        <v>31434000</v>
      </c>
      <c r="D13" s="18">
        <v>1014000</v>
      </c>
      <c r="E13" s="19">
        <v>18.28</v>
      </c>
      <c r="N13" s="25"/>
    </row>
    <row r="14" spans="1:28" s="17" customFormat="1" x14ac:dyDescent="0.25">
      <c r="A14" s="3">
        <v>33604</v>
      </c>
      <c r="B14">
        <v>31</v>
      </c>
      <c r="C14" s="4">
        <f t="shared" si="0"/>
        <v>30938000</v>
      </c>
      <c r="D14" s="18">
        <v>998000</v>
      </c>
      <c r="E14" s="19">
        <v>17.21</v>
      </c>
      <c r="N14" s="25"/>
    </row>
    <row r="15" spans="1:28" s="17" customFormat="1" x14ac:dyDescent="0.25">
      <c r="A15" s="3">
        <v>33635</v>
      </c>
      <c r="B15">
        <v>29</v>
      </c>
      <c r="C15" s="4">
        <f t="shared" si="0"/>
        <v>29261000</v>
      </c>
      <c r="D15" s="18">
        <v>1009000</v>
      </c>
      <c r="E15" s="19">
        <v>17.84</v>
      </c>
      <c r="N15" s="25"/>
    </row>
    <row r="16" spans="1:28" s="17" customFormat="1" x14ac:dyDescent="0.25">
      <c r="A16" s="3">
        <v>33664</v>
      </c>
      <c r="B16">
        <v>31</v>
      </c>
      <c r="C16" s="4">
        <f t="shared" si="0"/>
        <v>31651000</v>
      </c>
      <c r="D16" s="18">
        <v>1021000</v>
      </c>
      <c r="E16" s="19">
        <v>17.399999999999999</v>
      </c>
      <c r="N16" s="25"/>
    </row>
    <row r="17" spans="1:18" s="17" customFormat="1" x14ac:dyDescent="0.25">
      <c r="A17" s="3">
        <v>33695</v>
      </c>
      <c r="B17">
        <v>30</v>
      </c>
      <c r="C17" s="4">
        <f t="shared" si="0"/>
        <v>31470000</v>
      </c>
      <c r="D17" s="18">
        <v>1049000</v>
      </c>
      <c r="E17" s="19">
        <v>18.43</v>
      </c>
      <c r="N17" s="25"/>
    </row>
    <row r="18" spans="1:18" s="17" customFormat="1" x14ac:dyDescent="0.25">
      <c r="A18" s="3">
        <v>33725</v>
      </c>
      <c r="B18">
        <v>31</v>
      </c>
      <c r="C18" s="4">
        <f t="shared" si="0"/>
        <v>31899000</v>
      </c>
      <c r="D18" s="18">
        <v>1029000</v>
      </c>
      <c r="E18" s="19">
        <v>19.16</v>
      </c>
      <c r="N18" s="25"/>
    </row>
    <row r="19" spans="1:18" s="17" customFormat="1" x14ac:dyDescent="0.25">
      <c r="A19" s="3">
        <v>33756</v>
      </c>
      <c r="B19">
        <v>30</v>
      </c>
      <c r="C19" s="4">
        <f t="shared" si="0"/>
        <v>30420000</v>
      </c>
      <c r="D19" s="18">
        <v>1014000</v>
      </c>
      <c r="E19" s="19">
        <v>20.83</v>
      </c>
      <c r="N19" s="25"/>
    </row>
    <row r="20" spans="1:18" s="17" customFormat="1" x14ac:dyDescent="0.25">
      <c r="A20" s="3">
        <v>33786</v>
      </c>
      <c r="B20">
        <v>31</v>
      </c>
      <c r="C20" s="4">
        <f t="shared" si="0"/>
        <v>31713000</v>
      </c>
      <c r="D20" s="18">
        <v>1023000</v>
      </c>
      <c r="E20" s="19">
        <v>20.21</v>
      </c>
      <c r="N20" s="25"/>
    </row>
    <row r="21" spans="1:18" s="17" customFormat="1" x14ac:dyDescent="0.25">
      <c r="A21" s="3">
        <v>33817</v>
      </c>
      <c r="B21">
        <v>31</v>
      </c>
      <c r="C21" s="4">
        <f t="shared" si="0"/>
        <v>31713000</v>
      </c>
      <c r="D21" s="18">
        <v>1023000</v>
      </c>
      <c r="E21" s="19">
        <v>19.809999999999999</v>
      </c>
      <c r="N21" s="25"/>
    </row>
    <row r="22" spans="1:18" s="17" customFormat="1" x14ac:dyDescent="0.25">
      <c r="A22" s="3">
        <v>33848</v>
      </c>
      <c r="B22">
        <v>30</v>
      </c>
      <c r="C22" s="4">
        <f t="shared" si="0"/>
        <v>30660000</v>
      </c>
      <c r="D22" s="18">
        <v>1022000</v>
      </c>
      <c r="E22" s="19">
        <v>20.28</v>
      </c>
      <c r="N22" s="25"/>
    </row>
    <row r="23" spans="1:18" s="17" customFormat="1" x14ac:dyDescent="0.25">
      <c r="A23" s="3">
        <v>33878</v>
      </c>
      <c r="B23">
        <v>31</v>
      </c>
      <c r="C23" s="4">
        <f t="shared" si="0"/>
        <v>31496000</v>
      </c>
      <c r="D23" s="18">
        <v>1016000</v>
      </c>
      <c r="E23" s="19">
        <v>20.13</v>
      </c>
      <c r="N23" s="25"/>
    </row>
    <row r="24" spans="1:18" s="17" customFormat="1" x14ac:dyDescent="0.25">
      <c r="A24" s="3">
        <v>33909</v>
      </c>
      <c r="B24">
        <v>30</v>
      </c>
      <c r="C24" s="4">
        <f t="shared" si="0"/>
        <v>30210000</v>
      </c>
      <c r="D24" s="18">
        <v>1007000</v>
      </c>
      <c r="E24" s="19">
        <v>18.739999999999998</v>
      </c>
      <c r="N24" s="25"/>
    </row>
    <row r="25" spans="1:18" s="17" customFormat="1" x14ac:dyDescent="0.25">
      <c r="A25" s="3">
        <v>33939</v>
      </c>
      <c r="B25">
        <v>31</v>
      </c>
      <c r="C25" s="4">
        <f t="shared" si="0"/>
        <v>31031000</v>
      </c>
      <c r="D25" s="18">
        <v>1001000</v>
      </c>
      <c r="E25" s="19">
        <v>17.809999999999999</v>
      </c>
      <c r="N25" s="25"/>
    </row>
    <row r="26" spans="1:18" s="17" customFormat="1" x14ac:dyDescent="0.25">
      <c r="A26" s="3">
        <v>33970</v>
      </c>
      <c r="B26">
        <v>31</v>
      </c>
      <c r="C26" s="4">
        <f t="shared" si="0"/>
        <v>30659000</v>
      </c>
      <c r="D26" s="18">
        <v>989000</v>
      </c>
      <c r="E26" s="19">
        <v>17.5</v>
      </c>
      <c r="F26"/>
      <c r="G26" s="4"/>
      <c r="H26" s="5"/>
      <c r="I26" s="4"/>
      <c r="J26" s="4"/>
      <c r="K26" s="6"/>
      <c r="L26"/>
      <c r="M26" s="6"/>
      <c r="N26" s="26"/>
      <c r="O26" s="7">
        <v>2644334</v>
      </c>
      <c r="P26" s="8">
        <f t="shared" ref="P26:P89" si="1">+O26/B26</f>
        <v>85301.096774193546</v>
      </c>
      <c r="Q26" s="9">
        <f t="shared" ref="Q26:Q89" si="2">+(D26-(N26/B26))/P26</f>
        <v>11.594223725142134</v>
      </c>
      <c r="R26" s="2"/>
    </row>
    <row r="27" spans="1:18" s="17" customFormat="1" x14ac:dyDescent="0.25">
      <c r="A27" s="3">
        <v>34001</v>
      </c>
      <c r="B27">
        <v>28</v>
      </c>
      <c r="C27" s="4">
        <f t="shared" si="0"/>
        <v>28224000</v>
      </c>
      <c r="D27" s="18">
        <v>1008000</v>
      </c>
      <c r="E27" s="19">
        <v>18.48</v>
      </c>
      <c r="F27"/>
      <c r="G27" s="4"/>
      <c r="H27" s="5"/>
      <c r="I27" s="4"/>
      <c r="J27" s="4"/>
      <c r="K27" s="6"/>
      <c r="L27"/>
      <c r="M27" s="6"/>
      <c r="N27" s="26"/>
      <c r="O27" s="7">
        <v>2389090</v>
      </c>
      <c r="P27" s="8">
        <f t="shared" si="1"/>
        <v>85324.642857142855</v>
      </c>
      <c r="Q27" s="9">
        <f t="shared" si="2"/>
        <v>11.81370312545781</v>
      </c>
      <c r="R27" s="2"/>
    </row>
    <row r="28" spans="1:18" s="17" customFormat="1" x14ac:dyDescent="0.25">
      <c r="A28" s="3">
        <v>34029</v>
      </c>
      <c r="B28">
        <v>31</v>
      </c>
      <c r="C28" s="4">
        <f t="shared" si="0"/>
        <v>31775000</v>
      </c>
      <c r="D28" s="18">
        <v>1025000</v>
      </c>
      <c r="E28" s="19">
        <v>18.73</v>
      </c>
      <c r="F28"/>
      <c r="G28" s="4"/>
      <c r="H28" s="5"/>
      <c r="I28" s="4"/>
      <c r="J28" s="4"/>
      <c r="K28" s="6"/>
      <c r="L28"/>
      <c r="M28" s="6"/>
      <c r="N28" s="26"/>
      <c r="O28" s="7">
        <v>2634558</v>
      </c>
      <c r="P28" s="8">
        <f t="shared" si="1"/>
        <v>84985.741935483864</v>
      </c>
      <c r="Q28" s="9">
        <f t="shared" si="2"/>
        <v>12.060846639170594</v>
      </c>
      <c r="R28" s="2"/>
    </row>
    <row r="29" spans="1:18" s="17" customFormat="1" x14ac:dyDescent="0.25">
      <c r="A29" s="3">
        <v>34060</v>
      </c>
      <c r="B29">
        <v>30</v>
      </c>
      <c r="C29" s="4">
        <f t="shared" si="0"/>
        <v>31530000</v>
      </c>
      <c r="D29" s="18">
        <v>1051000</v>
      </c>
      <c r="E29" s="19">
        <v>18.62</v>
      </c>
      <c r="F29"/>
      <c r="G29" s="4"/>
      <c r="H29" s="5"/>
      <c r="I29" s="4"/>
      <c r="J29" s="4"/>
      <c r="K29" s="6"/>
      <c r="L29"/>
      <c r="M29" s="6"/>
      <c r="N29" s="26"/>
      <c r="O29" s="7">
        <v>2522522</v>
      </c>
      <c r="P29" s="8">
        <f t="shared" si="1"/>
        <v>84084.066666666666</v>
      </c>
      <c r="Q29" s="9">
        <f t="shared" si="2"/>
        <v>12.499395446303343</v>
      </c>
      <c r="R29" s="2"/>
    </row>
    <row r="30" spans="1:18" s="17" customFormat="1" x14ac:dyDescent="0.25">
      <c r="A30" s="3">
        <v>34090</v>
      </c>
      <c r="B30">
        <v>31</v>
      </c>
      <c r="C30" s="4">
        <f t="shared" si="0"/>
        <v>32798000</v>
      </c>
      <c r="D30" s="18">
        <v>1058000</v>
      </c>
      <c r="E30" s="19">
        <v>18.260000000000002</v>
      </c>
      <c r="F30"/>
      <c r="G30" s="4"/>
      <c r="H30" s="5"/>
      <c r="I30" s="4"/>
      <c r="J30" s="4"/>
      <c r="K30" s="6"/>
      <c r="L30"/>
      <c r="M30" s="6"/>
      <c r="N30" s="26"/>
      <c r="O30" s="7">
        <v>2594602</v>
      </c>
      <c r="P30" s="8">
        <f t="shared" si="1"/>
        <v>83696.838709677424</v>
      </c>
      <c r="Q30" s="9">
        <f t="shared" si="2"/>
        <v>12.640859754212784</v>
      </c>
      <c r="R30" s="2"/>
    </row>
    <row r="31" spans="1:18" s="17" customFormat="1" x14ac:dyDescent="0.25">
      <c r="A31" s="3">
        <v>34121</v>
      </c>
      <c r="B31">
        <v>30</v>
      </c>
      <c r="C31" s="4">
        <f t="shared" si="0"/>
        <v>31920000</v>
      </c>
      <c r="D31" s="18">
        <v>1064000</v>
      </c>
      <c r="E31" s="19">
        <v>17.260000000000002</v>
      </c>
      <c r="F31"/>
      <c r="G31" s="4"/>
      <c r="H31" s="5"/>
      <c r="I31" s="4"/>
      <c r="J31" s="4"/>
      <c r="K31" s="6"/>
      <c r="L31"/>
      <c r="M31" s="6"/>
      <c r="N31" s="26"/>
      <c r="O31" s="7">
        <v>2513001</v>
      </c>
      <c r="P31" s="8">
        <f t="shared" si="1"/>
        <v>83766.7</v>
      </c>
      <c r="Q31" s="9">
        <f t="shared" si="2"/>
        <v>12.701944806229683</v>
      </c>
      <c r="R31" s="2"/>
    </row>
    <row r="32" spans="1:18" s="17" customFormat="1" x14ac:dyDescent="0.25">
      <c r="A32" s="3">
        <v>34151</v>
      </c>
      <c r="B32">
        <v>31</v>
      </c>
      <c r="C32" s="4">
        <f t="shared" si="0"/>
        <v>32519000</v>
      </c>
      <c r="D32" s="18">
        <v>1049000</v>
      </c>
      <c r="E32" s="19">
        <v>15.94</v>
      </c>
      <c r="F32"/>
      <c r="G32" s="4"/>
      <c r="H32" s="5"/>
      <c r="I32" s="4"/>
      <c r="J32" s="4"/>
      <c r="K32" s="6"/>
      <c r="L32"/>
      <c r="M32" s="6"/>
      <c r="N32" s="26"/>
      <c r="O32" s="7">
        <v>2538523</v>
      </c>
      <c r="P32" s="8">
        <f t="shared" si="1"/>
        <v>81887.838709677424</v>
      </c>
      <c r="Q32" s="9">
        <f t="shared" si="2"/>
        <v>12.810204989279198</v>
      </c>
      <c r="R32" s="2"/>
    </row>
    <row r="33" spans="1:18" s="17" customFormat="1" x14ac:dyDescent="0.25">
      <c r="A33" s="3">
        <v>34182</v>
      </c>
      <c r="B33">
        <v>31</v>
      </c>
      <c r="C33" s="4">
        <f t="shared" si="0"/>
        <v>32612000</v>
      </c>
      <c r="D33" s="18">
        <v>1052000</v>
      </c>
      <c r="E33" s="19">
        <v>16.100000000000001</v>
      </c>
      <c r="F33"/>
      <c r="G33" s="4"/>
      <c r="H33" s="5"/>
      <c r="I33" s="4"/>
      <c r="J33" s="4"/>
      <c r="K33" s="6"/>
      <c r="L33"/>
      <c r="M33" s="6"/>
      <c r="N33" s="26"/>
      <c r="O33" s="7">
        <v>2536459</v>
      </c>
      <c r="P33" s="8">
        <f t="shared" si="1"/>
        <v>81821.258064516136</v>
      </c>
      <c r="Q33" s="9">
        <f t="shared" si="2"/>
        <v>12.857294361943165</v>
      </c>
      <c r="R33" s="2"/>
    </row>
    <row r="34" spans="1:18" s="17" customFormat="1" x14ac:dyDescent="0.25">
      <c r="A34" s="3">
        <v>34213</v>
      </c>
      <c r="B34">
        <v>30</v>
      </c>
      <c r="C34" s="4">
        <f t="shared" si="0"/>
        <v>31470000</v>
      </c>
      <c r="D34" s="18">
        <v>1049000</v>
      </c>
      <c r="E34" s="19">
        <v>15.58</v>
      </c>
      <c r="F34"/>
      <c r="G34" s="4"/>
      <c r="H34" s="5"/>
      <c r="I34" s="4"/>
      <c r="J34" s="4"/>
      <c r="K34" s="6"/>
      <c r="L34"/>
      <c r="M34" s="6"/>
      <c r="N34" s="26"/>
      <c r="O34" s="7">
        <v>2431261</v>
      </c>
      <c r="P34" s="8">
        <f t="shared" si="1"/>
        <v>81042.03333333334</v>
      </c>
      <c r="Q34" s="9">
        <f t="shared" si="2"/>
        <v>12.943900305232551</v>
      </c>
      <c r="R34" s="2"/>
    </row>
    <row r="35" spans="1:18" s="17" customFormat="1" x14ac:dyDescent="0.25">
      <c r="A35" s="3">
        <v>34243</v>
      </c>
      <c r="B35">
        <v>31</v>
      </c>
      <c r="C35" s="4">
        <f t="shared" si="0"/>
        <v>31744000</v>
      </c>
      <c r="D35" s="18">
        <v>1024000</v>
      </c>
      <c r="E35" s="19">
        <v>16.309999999999999</v>
      </c>
      <c r="F35"/>
      <c r="G35" s="4"/>
      <c r="H35" s="5"/>
      <c r="I35" s="4"/>
      <c r="J35" s="4"/>
      <c r="K35" s="6"/>
      <c r="L35"/>
      <c r="M35" s="6"/>
      <c r="N35" s="26"/>
      <c r="O35" s="7">
        <v>2487833</v>
      </c>
      <c r="P35" s="8">
        <f t="shared" si="1"/>
        <v>80252.677419354834</v>
      </c>
      <c r="Q35" s="9">
        <f t="shared" si="2"/>
        <v>12.759698902619268</v>
      </c>
      <c r="R35" s="2"/>
    </row>
    <row r="36" spans="1:18" s="17" customFormat="1" x14ac:dyDescent="0.25">
      <c r="A36" s="3">
        <v>34274</v>
      </c>
      <c r="B36">
        <v>30</v>
      </c>
      <c r="C36" s="4">
        <f t="shared" si="0"/>
        <v>30270000</v>
      </c>
      <c r="D36" s="18">
        <v>1009000</v>
      </c>
      <c r="E36" s="19">
        <v>14.84</v>
      </c>
      <c r="F36"/>
      <c r="G36" s="4"/>
      <c r="H36" s="5"/>
      <c r="I36" s="4"/>
      <c r="J36" s="4"/>
      <c r="K36" s="6"/>
      <c r="L36"/>
      <c r="M36" s="6"/>
      <c r="N36" s="26"/>
      <c r="O36" s="7">
        <v>2392035</v>
      </c>
      <c r="P36" s="8">
        <f t="shared" si="1"/>
        <v>79734.5</v>
      </c>
      <c r="Q36" s="9">
        <f t="shared" si="2"/>
        <v>12.654497112291416</v>
      </c>
      <c r="R36" s="2"/>
    </row>
    <row r="37" spans="1:18" s="17" customFormat="1" x14ac:dyDescent="0.25">
      <c r="A37" s="3">
        <v>34304</v>
      </c>
      <c r="B37">
        <v>31</v>
      </c>
      <c r="C37" s="4">
        <f t="shared" si="0"/>
        <v>31341000</v>
      </c>
      <c r="D37" s="18">
        <v>1011000</v>
      </c>
      <c r="E37" s="19">
        <v>12.6</v>
      </c>
      <c r="F37"/>
      <c r="G37" s="4"/>
      <c r="H37" s="5"/>
      <c r="I37" s="4"/>
      <c r="J37" s="4"/>
      <c r="K37" s="6"/>
      <c r="L37"/>
      <c r="M37" s="6"/>
      <c r="N37" s="26"/>
      <c r="O37" s="7">
        <v>2452999</v>
      </c>
      <c r="P37" s="8">
        <f t="shared" si="1"/>
        <v>79129</v>
      </c>
      <c r="Q37" s="9">
        <f t="shared" si="2"/>
        <v>12.776605290095919</v>
      </c>
      <c r="R37" s="2"/>
    </row>
    <row r="38" spans="1:18" s="17" customFormat="1" x14ac:dyDescent="0.25">
      <c r="A38" s="3">
        <v>34335</v>
      </c>
      <c r="B38">
        <v>31</v>
      </c>
      <c r="C38" s="4">
        <f t="shared" si="0"/>
        <v>31031000</v>
      </c>
      <c r="D38" s="18">
        <v>1001000</v>
      </c>
      <c r="E38" s="19">
        <v>13.08</v>
      </c>
      <c r="F38"/>
      <c r="G38" s="4"/>
      <c r="H38" s="5"/>
      <c r="I38" s="4"/>
      <c r="J38" s="4"/>
      <c r="K38" s="6"/>
      <c r="L38"/>
      <c r="M38" s="6"/>
      <c r="N38" s="26"/>
      <c r="O38" s="7">
        <v>2427278</v>
      </c>
      <c r="P38" s="8">
        <f t="shared" si="1"/>
        <v>78299.290322580651</v>
      </c>
      <c r="Q38" s="9">
        <f t="shared" si="2"/>
        <v>12.784279345011159</v>
      </c>
      <c r="R38" s="2"/>
    </row>
    <row r="39" spans="1:18" s="17" customFormat="1" x14ac:dyDescent="0.25">
      <c r="A39" s="3">
        <v>34366</v>
      </c>
      <c r="B39">
        <v>28</v>
      </c>
      <c r="C39" s="4">
        <f t="shared" si="0"/>
        <v>26908000</v>
      </c>
      <c r="D39" s="18">
        <v>961000</v>
      </c>
      <c r="E39" s="19">
        <v>12.73</v>
      </c>
      <c r="F39"/>
      <c r="G39" s="4"/>
      <c r="H39" s="5"/>
      <c r="I39" s="4"/>
      <c r="J39" s="4"/>
      <c r="K39" s="6"/>
      <c r="L39"/>
      <c r="M39" s="6"/>
      <c r="N39" s="26"/>
      <c r="O39" s="7">
        <v>2164606</v>
      </c>
      <c r="P39" s="8">
        <f t="shared" si="1"/>
        <v>77307.357142857145</v>
      </c>
      <c r="Q39" s="9">
        <f t="shared" si="2"/>
        <v>12.430899664881276</v>
      </c>
      <c r="R39" s="2"/>
    </row>
    <row r="40" spans="1:18" s="17" customFormat="1" x14ac:dyDescent="0.25">
      <c r="A40" s="3">
        <v>34394</v>
      </c>
      <c r="B40">
        <v>31</v>
      </c>
      <c r="C40" s="4">
        <f t="shared" si="0"/>
        <v>32271000</v>
      </c>
      <c r="D40" s="18">
        <v>1041000</v>
      </c>
      <c r="E40" s="19">
        <v>12.8</v>
      </c>
      <c r="F40"/>
      <c r="G40" s="4"/>
      <c r="H40" s="5"/>
      <c r="I40" s="4"/>
      <c r="J40" s="4"/>
      <c r="K40" s="6"/>
      <c r="L40"/>
      <c r="M40" s="6"/>
      <c r="N40" s="26"/>
      <c r="O40" s="7">
        <v>2443706</v>
      </c>
      <c r="P40" s="8">
        <f t="shared" si="1"/>
        <v>78829.225806451606</v>
      </c>
      <c r="Q40" s="9">
        <f t="shared" si="2"/>
        <v>13.205762067941071</v>
      </c>
      <c r="R40" s="2"/>
    </row>
    <row r="41" spans="1:18" s="17" customFormat="1" x14ac:dyDescent="0.25">
      <c r="A41" s="3">
        <v>34425</v>
      </c>
      <c r="B41">
        <v>30</v>
      </c>
      <c r="C41" s="4">
        <f t="shared" si="0"/>
        <v>31380000</v>
      </c>
      <c r="D41" s="18">
        <v>1046000</v>
      </c>
      <c r="E41" s="19">
        <v>14.47</v>
      </c>
      <c r="F41"/>
      <c r="G41" s="4"/>
      <c r="H41" s="5"/>
      <c r="I41" s="4"/>
      <c r="J41" s="4"/>
      <c r="K41" s="6"/>
      <c r="L41"/>
      <c r="M41" s="6"/>
      <c r="N41" s="26"/>
      <c r="O41" s="7">
        <v>2348316</v>
      </c>
      <c r="P41" s="8">
        <f t="shared" si="1"/>
        <v>78277.2</v>
      </c>
      <c r="Q41" s="9">
        <f t="shared" si="2"/>
        <v>13.36276719146827</v>
      </c>
      <c r="R41" s="2"/>
    </row>
    <row r="42" spans="1:18" s="17" customFormat="1" x14ac:dyDescent="0.25">
      <c r="A42" s="3">
        <v>34455</v>
      </c>
      <c r="B42">
        <v>31</v>
      </c>
      <c r="C42" s="4">
        <f t="shared" si="0"/>
        <v>31992000</v>
      </c>
      <c r="D42" s="18">
        <v>1032000</v>
      </c>
      <c r="E42" s="19">
        <v>16.329999999999998</v>
      </c>
      <c r="F42"/>
      <c r="G42" s="4"/>
      <c r="H42" s="5"/>
      <c r="I42" s="4"/>
      <c r="J42" s="4"/>
      <c r="K42" s="6"/>
      <c r="L42"/>
      <c r="M42" s="6"/>
      <c r="N42" s="26"/>
      <c r="O42" s="7">
        <v>2436496</v>
      </c>
      <c r="P42" s="8">
        <f t="shared" si="1"/>
        <v>78596.645161290318</v>
      </c>
      <c r="Q42" s="9">
        <f t="shared" si="2"/>
        <v>13.130331426770248</v>
      </c>
      <c r="R42" s="2"/>
    </row>
    <row r="43" spans="1:18" s="17" customFormat="1" x14ac:dyDescent="0.25">
      <c r="A43" s="3">
        <v>34486</v>
      </c>
      <c r="B43">
        <v>30</v>
      </c>
      <c r="C43" s="4">
        <f t="shared" si="0"/>
        <v>31560000</v>
      </c>
      <c r="D43" s="18">
        <v>1052000</v>
      </c>
      <c r="E43" s="19">
        <v>17.54</v>
      </c>
      <c r="F43"/>
      <c r="G43" s="4"/>
      <c r="H43" s="5"/>
      <c r="I43" s="4"/>
      <c r="J43" s="4"/>
      <c r="K43" s="6"/>
      <c r="L43"/>
      <c r="M43" s="6"/>
      <c r="N43" s="26"/>
      <c r="O43" s="7">
        <v>2341783</v>
      </c>
      <c r="P43" s="8">
        <f t="shared" si="1"/>
        <v>78059.433333333334</v>
      </c>
      <c r="Q43" s="9">
        <f t="shared" si="2"/>
        <v>13.476910542095489</v>
      </c>
      <c r="R43" s="2"/>
    </row>
    <row r="44" spans="1:18" s="17" customFormat="1" x14ac:dyDescent="0.25">
      <c r="A44" s="3">
        <v>34516</v>
      </c>
      <c r="B44">
        <v>31</v>
      </c>
      <c r="C44" s="4">
        <f t="shared" si="0"/>
        <v>31961000</v>
      </c>
      <c r="D44" s="18">
        <v>1031000</v>
      </c>
      <c r="E44" s="19">
        <v>18.05</v>
      </c>
      <c r="F44"/>
      <c r="G44" s="4"/>
      <c r="H44" s="5"/>
      <c r="I44" s="4"/>
      <c r="J44" s="4"/>
      <c r="K44" s="6"/>
      <c r="L44"/>
      <c r="M44" s="6"/>
      <c r="N44" s="26"/>
      <c r="O44" s="7">
        <v>2369057</v>
      </c>
      <c r="P44" s="8">
        <f t="shared" si="1"/>
        <v>76421.193548387091</v>
      </c>
      <c r="Q44" s="9">
        <f t="shared" si="2"/>
        <v>13.491021955149243</v>
      </c>
      <c r="R44" s="2"/>
    </row>
    <row r="45" spans="1:18" s="17" customFormat="1" x14ac:dyDescent="0.25">
      <c r="A45" s="3">
        <v>34547</v>
      </c>
      <c r="B45">
        <v>31</v>
      </c>
      <c r="C45" s="4">
        <f t="shared" si="0"/>
        <v>32054000</v>
      </c>
      <c r="D45" s="18">
        <v>1034000</v>
      </c>
      <c r="E45" s="19">
        <v>16.489999999999998</v>
      </c>
      <c r="F45"/>
      <c r="G45" s="4"/>
      <c r="H45" s="5"/>
      <c r="I45" s="4"/>
      <c r="J45" s="4"/>
      <c r="K45" s="6"/>
      <c r="L45"/>
      <c r="M45" s="6"/>
      <c r="N45" s="26"/>
      <c r="O45" s="7">
        <v>2376176</v>
      </c>
      <c r="P45" s="8">
        <f t="shared" si="1"/>
        <v>76650.838709677424</v>
      </c>
      <c r="Q45" s="9">
        <f t="shared" si="2"/>
        <v>13.489741500629583</v>
      </c>
      <c r="R45" s="2"/>
    </row>
    <row r="46" spans="1:18" s="17" customFormat="1" x14ac:dyDescent="0.25">
      <c r="A46" s="3">
        <v>34578</v>
      </c>
      <c r="B46">
        <v>30</v>
      </c>
      <c r="C46" s="4">
        <f t="shared" si="0"/>
        <v>30750000</v>
      </c>
      <c r="D46" s="18">
        <v>1025000</v>
      </c>
      <c r="E46" s="19">
        <v>15.48</v>
      </c>
      <c r="F46"/>
      <c r="G46" s="4"/>
      <c r="H46" s="5"/>
      <c r="I46" s="4"/>
      <c r="J46" s="4"/>
      <c r="K46" s="6"/>
      <c r="L46"/>
      <c r="M46" s="6"/>
      <c r="N46" s="26"/>
      <c r="O46" s="7">
        <v>2280194</v>
      </c>
      <c r="P46" s="8">
        <f t="shared" si="1"/>
        <v>76006.46666666666</v>
      </c>
      <c r="Q46" s="9">
        <f t="shared" si="2"/>
        <v>13.485694638263237</v>
      </c>
      <c r="R46" s="2"/>
    </row>
    <row r="47" spans="1:18" s="17" customFormat="1" x14ac:dyDescent="0.25">
      <c r="A47" s="3">
        <v>34608</v>
      </c>
      <c r="B47">
        <v>31</v>
      </c>
      <c r="C47" s="4">
        <f t="shared" si="0"/>
        <v>31589000</v>
      </c>
      <c r="D47" s="18">
        <v>1019000</v>
      </c>
      <c r="E47" s="19">
        <v>15.78</v>
      </c>
      <c r="F47"/>
      <c r="G47" s="4"/>
      <c r="H47" s="5"/>
      <c r="I47" s="4"/>
      <c r="J47" s="4"/>
      <c r="K47" s="6"/>
      <c r="L47"/>
      <c r="M47" s="6"/>
      <c r="N47" s="26"/>
      <c r="O47" s="7">
        <v>2316737</v>
      </c>
      <c r="P47" s="8">
        <f t="shared" si="1"/>
        <v>74733.451612903227</v>
      </c>
      <c r="Q47" s="9">
        <f t="shared" si="2"/>
        <v>13.635125609855585</v>
      </c>
      <c r="R47" s="2"/>
    </row>
    <row r="48" spans="1:18" s="17" customFormat="1" x14ac:dyDescent="0.25">
      <c r="A48" s="3">
        <v>34639</v>
      </c>
      <c r="B48">
        <v>30</v>
      </c>
      <c r="C48" s="4">
        <f t="shared" si="0"/>
        <v>30660000</v>
      </c>
      <c r="D48" s="18">
        <v>1022000</v>
      </c>
      <c r="E48" s="19">
        <v>16.190000000000001</v>
      </c>
      <c r="F48"/>
      <c r="G48" s="4"/>
      <c r="H48" s="5"/>
      <c r="I48" s="4"/>
      <c r="J48" s="4"/>
      <c r="K48" s="6"/>
      <c r="L48"/>
      <c r="M48" s="6"/>
      <c r="N48" s="26"/>
      <c r="O48" s="7">
        <v>2227136</v>
      </c>
      <c r="P48" s="8">
        <f t="shared" si="1"/>
        <v>74237.866666666669</v>
      </c>
      <c r="Q48" s="9">
        <f t="shared" si="2"/>
        <v>13.766559383890341</v>
      </c>
      <c r="R48" s="2"/>
    </row>
    <row r="49" spans="1:18" s="17" customFormat="1" x14ac:dyDescent="0.25">
      <c r="A49" s="3">
        <v>34669</v>
      </c>
      <c r="B49">
        <v>31</v>
      </c>
      <c r="C49" s="4">
        <f t="shared" si="0"/>
        <v>31310000</v>
      </c>
      <c r="D49" s="18">
        <v>1010000</v>
      </c>
      <c r="E49" s="19">
        <v>15.23</v>
      </c>
      <c r="F49"/>
      <c r="G49" s="4"/>
      <c r="H49" s="5"/>
      <c r="I49" s="4"/>
      <c r="J49" s="4"/>
      <c r="K49" s="6"/>
      <c r="L49"/>
      <c r="M49" s="6"/>
      <c r="N49" s="26"/>
      <c r="O49" s="7">
        <v>2267020</v>
      </c>
      <c r="P49" s="8">
        <f t="shared" si="1"/>
        <v>73129.677419354834</v>
      </c>
      <c r="Q49" s="9">
        <f t="shared" si="2"/>
        <v>13.811082390098015</v>
      </c>
      <c r="R49" s="2"/>
    </row>
    <row r="50" spans="1:18" s="17" customFormat="1" x14ac:dyDescent="0.25">
      <c r="A50" s="3">
        <v>34700</v>
      </c>
      <c r="B50">
        <v>31</v>
      </c>
      <c r="C50" s="4">
        <f t="shared" si="0"/>
        <v>31279000</v>
      </c>
      <c r="D50" s="18">
        <v>1009000</v>
      </c>
      <c r="E50" s="19">
        <v>16.13</v>
      </c>
      <c r="F50"/>
      <c r="G50" s="4"/>
      <c r="H50" s="5"/>
      <c r="I50" s="4"/>
      <c r="J50" s="4"/>
      <c r="K50" s="6"/>
      <c r="L50"/>
      <c r="M50" s="6"/>
      <c r="N50" s="26"/>
      <c r="O50" s="7">
        <v>2238434</v>
      </c>
      <c r="P50" s="8">
        <f t="shared" si="1"/>
        <v>72207.548387096773</v>
      </c>
      <c r="Q50" s="9">
        <f t="shared" si="2"/>
        <v>13.973608335112852</v>
      </c>
      <c r="R50" s="2"/>
    </row>
    <row r="51" spans="1:18" s="17" customFormat="1" x14ac:dyDescent="0.25">
      <c r="A51" s="3">
        <v>34731</v>
      </c>
      <c r="B51">
        <v>28</v>
      </c>
      <c r="C51" s="4">
        <f t="shared" si="0"/>
        <v>28672000</v>
      </c>
      <c r="D51" s="18">
        <v>1024000</v>
      </c>
      <c r="E51" s="19">
        <v>16.88</v>
      </c>
      <c r="F51"/>
      <c r="G51" s="4"/>
      <c r="H51" s="5"/>
      <c r="I51" s="4"/>
      <c r="J51" s="4"/>
      <c r="K51" s="6"/>
      <c r="L51"/>
      <c r="M51" s="6"/>
      <c r="N51" s="26"/>
      <c r="O51" s="7">
        <v>2027338</v>
      </c>
      <c r="P51" s="8">
        <f t="shared" si="1"/>
        <v>72404.928571428565</v>
      </c>
      <c r="Q51" s="9">
        <f t="shared" si="2"/>
        <v>14.142683657091222</v>
      </c>
      <c r="R51" s="2"/>
    </row>
    <row r="52" spans="1:18" s="17" customFormat="1" x14ac:dyDescent="0.25">
      <c r="A52" s="3">
        <v>34759</v>
      </c>
      <c r="B52">
        <v>31</v>
      </c>
      <c r="C52" s="4">
        <f t="shared" si="0"/>
        <v>32209000</v>
      </c>
      <c r="D52" s="18">
        <v>1039000</v>
      </c>
      <c r="E52" s="19">
        <v>16.62</v>
      </c>
      <c r="F52"/>
      <c r="G52" s="4"/>
      <c r="H52" s="5"/>
      <c r="I52" s="4"/>
      <c r="J52" s="4"/>
      <c r="K52" s="6"/>
      <c r="L52"/>
      <c r="M52" s="6"/>
      <c r="N52" s="26"/>
      <c r="O52" s="7">
        <v>2230875</v>
      </c>
      <c r="P52" s="8">
        <f t="shared" si="1"/>
        <v>71963.709677419349</v>
      </c>
      <c r="Q52" s="9">
        <f t="shared" si="2"/>
        <v>14.437832688967335</v>
      </c>
      <c r="R52" s="2"/>
    </row>
    <row r="53" spans="1:18" s="17" customFormat="1" x14ac:dyDescent="0.25">
      <c r="A53" s="3">
        <v>34790</v>
      </c>
      <c r="B53">
        <v>30</v>
      </c>
      <c r="C53" s="4">
        <f t="shared" si="0"/>
        <v>31200000</v>
      </c>
      <c r="D53" s="18">
        <v>1040000</v>
      </c>
      <c r="E53" s="19">
        <v>17.93</v>
      </c>
      <c r="F53"/>
      <c r="G53" s="4"/>
      <c r="H53" s="5"/>
      <c r="I53" s="4"/>
      <c r="J53" s="4"/>
      <c r="K53" s="6"/>
      <c r="L53"/>
      <c r="M53" s="6"/>
      <c r="N53" s="26"/>
      <c r="O53" s="7">
        <v>2114711</v>
      </c>
      <c r="P53" s="8">
        <f t="shared" si="1"/>
        <v>70490.366666666669</v>
      </c>
      <c r="Q53" s="9">
        <f t="shared" si="2"/>
        <v>14.753789052026494</v>
      </c>
      <c r="R53" s="2"/>
    </row>
    <row r="54" spans="1:18" s="17" customFormat="1" x14ac:dyDescent="0.25">
      <c r="A54" s="3">
        <v>34820</v>
      </c>
      <c r="B54">
        <v>31</v>
      </c>
      <c r="C54" s="4">
        <f t="shared" si="0"/>
        <v>31744000</v>
      </c>
      <c r="D54" s="18">
        <v>1024000</v>
      </c>
      <c r="E54" s="19">
        <v>17.670000000000002</v>
      </c>
      <c r="F54"/>
      <c r="G54" s="4"/>
      <c r="H54" s="5"/>
      <c r="I54" s="4"/>
      <c r="J54" s="4"/>
      <c r="K54" s="6"/>
      <c r="L54"/>
      <c r="M54" s="6"/>
      <c r="N54" s="26"/>
      <c r="O54" s="7">
        <v>2189560</v>
      </c>
      <c r="P54" s="8">
        <f t="shared" si="1"/>
        <v>70630.967741935485</v>
      </c>
      <c r="Q54" s="9">
        <f t="shared" si="2"/>
        <v>14.497889987029357</v>
      </c>
      <c r="R54" s="2"/>
    </row>
    <row r="55" spans="1:18" s="17" customFormat="1" x14ac:dyDescent="0.25">
      <c r="A55" s="3">
        <v>34851</v>
      </c>
      <c r="B55">
        <v>30</v>
      </c>
      <c r="C55" s="4">
        <f t="shared" si="0"/>
        <v>30570000</v>
      </c>
      <c r="D55" s="18">
        <v>1019000</v>
      </c>
      <c r="E55" s="19">
        <v>16.48</v>
      </c>
      <c r="F55"/>
      <c r="G55" s="4"/>
      <c r="H55" s="5"/>
      <c r="I55" s="4"/>
      <c r="J55" s="4"/>
      <c r="K55" s="6"/>
      <c r="L55"/>
      <c r="M55" s="6"/>
      <c r="N55" s="26"/>
      <c r="O55" s="7">
        <v>2106292</v>
      </c>
      <c r="P55" s="8">
        <f t="shared" si="1"/>
        <v>70209.733333333337</v>
      </c>
      <c r="Q55" s="9">
        <f t="shared" si="2"/>
        <v>14.513657175738215</v>
      </c>
      <c r="R55" s="2"/>
    </row>
    <row r="56" spans="1:18" s="17" customFormat="1" x14ac:dyDescent="0.25">
      <c r="A56" s="3">
        <v>34881</v>
      </c>
      <c r="B56">
        <v>31</v>
      </c>
      <c r="C56" s="4">
        <f t="shared" si="0"/>
        <v>31279000</v>
      </c>
      <c r="D56" s="18">
        <v>1009000</v>
      </c>
      <c r="E56" s="19">
        <v>15.26</v>
      </c>
      <c r="F56"/>
      <c r="G56" s="4"/>
      <c r="H56" s="5"/>
      <c r="I56" s="4"/>
      <c r="J56" s="4"/>
      <c r="K56" s="6"/>
      <c r="L56"/>
      <c r="M56" s="6"/>
      <c r="N56" s="26"/>
      <c r="O56" s="7">
        <v>2102831</v>
      </c>
      <c r="P56" s="8">
        <f t="shared" si="1"/>
        <v>67833.258064516136</v>
      </c>
      <c r="Q56" s="9">
        <f t="shared" si="2"/>
        <v>14.874709379878839</v>
      </c>
      <c r="R56" s="2"/>
    </row>
    <row r="57" spans="1:18" s="17" customFormat="1" x14ac:dyDescent="0.25">
      <c r="A57" s="3">
        <v>34912</v>
      </c>
      <c r="B57">
        <v>31</v>
      </c>
      <c r="C57" s="4">
        <f t="shared" si="0"/>
        <v>31465000</v>
      </c>
      <c r="D57" s="18">
        <v>1015000</v>
      </c>
      <c r="E57" s="19">
        <v>16.03</v>
      </c>
      <c r="F57"/>
      <c r="G57" s="4"/>
      <c r="H57" s="5"/>
      <c r="I57" s="4"/>
      <c r="J57" s="4"/>
      <c r="K57" s="6"/>
      <c r="L57"/>
      <c r="M57" s="6"/>
      <c r="N57" s="26"/>
      <c r="O57" s="7">
        <v>2097436</v>
      </c>
      <c r="P57" s="8">
        <f t="shared" si="1"/>
        <v>67659.225806451606</v>
      </c>
      <c r="Q57" s="9">
        <f t="shared" si="2"/>
        <v>15.001649633171169</v>
      </c>
      <c r="R57" s="2"/>
    </row>
    <row r="58" spans="1:18" s="17" customFormat="1" x14ac:dyDescent="0.25">
      <c r="A58" s="3">
        <v>34943</v>
      </c>
      <c r="B58">
        <v>30</v>
      </c>
      <c r="C58" s="4">
        <f t="shared" si="0"/>
        <v>30060000</v>
      </c>
      <c r="D58" s="18">
        <v>1002000</v>
      </c>
      <c r="E58" s="19">
        <v>16.3</v>
      </c>
      <c r="F58"/>
      <c r="G58" s="4"/>
      <c r="H58" s="5"/>
      <c r="I58" s="4"/>
      <c r="J58" s="4"/>
      <c r="K58" s="6"/>
      <c r="L58"/>
      <c r="M58" s="6"/>
      <c r="N58" s="26"/>
      <c r="O58" s="7">
        <v>2022948</v>
      </c>
      <c r="P58" s="8">
        <f t="shared" si="1"/>
        <v>67431.600000000006</v>
      </c>
      <c r="Q58" s="9">
        <f t="shared" si="2"/>
        <v>14.859502073211965</v>
      </c>
      <c r="R58" s="2"/>
    </row>
    <row r="59" spans="1:18" s="17" customFormat="1" x14ac:dyDescent="0.25">
      <c r="A59" s="3">
        <v>34973</v>
      </c>
      <c r="B59">
        <v>31</v>
      </c>
      <c r="C59" s="4">
        <f t="shared" si="0"/>
        <v>31310000</v>
      </c>
      <c r="D59" s="18">
        <v>1010000</v>
      </c>
      <c r="E59" s="19">
        <v>15.45</v>
      </c>
      <c r="F59"/>
      <c r="G59" s="4"/>
      <c r="H59" s="5"/>
      <c r="I59" s="4"/>
      <c r="J59" s="4"/>
      <c r="K59" s="6"/>
      <c r="L59"/>
      <c r="M59" s="6"/>
      <c r="N59" s="26"/>
      <c r="O59" s="7">
        <v>2064192</v>
      </c>
      <c r="P59" s="8">
        <f t="shared" si="1"/>
        <v>66586.838709677424</v>
      </c>
      <c r="Q59" s="9">
        <f t="shared" si="2"/>
        <v>15.16816265153629</v>
      </c>
      <c r="R59" s="2"/>
    </row>
    <row r="60" spans="1:18" s="17" customFormat="1" x14ac:dyDescent="0.25">
      <c r="A60" s="3">
        <v>35004</v>
      </c>
      <c r="B60">
        <v>30</v>
      </c>
      <c r="C60" s="4">
        <f t="shared" si="0"/>
        <v>30360000</v>
      </c>
      <c r="D60" s="18">
        <v>1012000</v>
      </c>
      <c r="E60" s="19">
        <v>16.02</v>
      </c>
      <c r="F60"/>
      <c r="G60" s="4"/>
      <c r="H60" s="5"/>
      <c r="I60" s="4"/>
      <c r="J60" s="4"/>
      <c r="K60" s="6"/>
      <c r="L60"/>
      <c r="M60" s="6"/>
      <c r="N60" s="26"/>
      <c r="O60" s="7">
        <v>1989883</v>
      </c>
      <c r="P60" s="8">
        <f t="shared" si="1"/>
        <v>66329.433333333334</v>
      </c>
      <c r="Q60" s="9">
        <f t="shared" si="2"/>
        <v>15.257178437124193</v>
      </c>
      <c r="R60" s="2"/>
    </row>
    <row r="61" spans="1:18" s="17" customFormat="1" x14ac:dyDescent="0.25">
      <c r="A61" s="3">
        <v>35034</v>
      </c>
      <c r="B61">
        <v>31</v>
      </c>
      <c r="C61" s="4">
        <f t="shared" si="0"/>
        <v>31186000</v>
      </c>
      <c r="D61" s="18">
        <v>1006000</v>
      </c>
      <c r="E61" s="19">
        <v>17.23</v>
      </c>
      <c r="F61"/>
      <c r="G61" s="4"/>
      <c r="H61" s="5"/>
      <c r="I61" s="4"/>
      <c r="J61" s="4"/>
      <c r="K61" s="6"/>
      <c r="L61"/>
      <c r="M61" s="6"/>
      <c r="N61" s="26"/>
      <c r="O61" s="7">
        <v>2033189</v>
      </c>
      <c r="P61" s="8">
        <f t="shared" si="1"/>
        <v>65586.741935483864</v>
      </c>
      <c r="Q61" s="9">
        <f t="shared" si="2"/>
        <v>15.338465828803916</v>
      </c>
      <c r="R61" s="2"/>
    </row>
    <row r="62" spans="1:18" s="17" customFormat="1" x14ac:dyDescent="0.25">
      <c r="A62" s="3">
        <v>35065</v>
      </c>
      <c r="B62">
        <v>31</v>
      </c>
      <c r="C62" s="4">
        <f t="shared" si="0"/>
        <v>30907000</v>
      </c>
      <c r="D62" s="18">
        <v>997000</v>
      </c>
      <c r="E62" s="19">
        <v>17.100000000000001</v>
      </c>
      <c r="F62"/>
      <c r="G62" s="4"/>
      <c r="H62" s="5"/>
      <c r="I62" s="4"/>
      <c r="J62" s="4"/>
      <c r="K62" s="6"/>
      <c r="L62"/>
      <c r="M62" s="6"/>
      <c r="N62" s="26"/>
      <c r="O62" s="7">
        <v>2012604</v>
      </c>
      <c r="P62" s="8">
        <f t="shared" si="1"/>
        <v>64922.709677419356</v>
      </c>
      <c r="Q62" s="9">
        <f t="shared" si="2"/>
        <v>15.356721938344553</v>
      </c>
      <c r="R62" s="2"/>
    </row>
    <row r="63" spans="1:18" s="17" customFormat="1" x14ac:dyDescent="0.25">
      <c r="A63" s="3">
        <v>35096</v>
      </c>
      <c r="B63">
        <v>28</v>
      </c>
      <c r="C63" s="4">
        <f t="shared" si="0"/>
        <v>28196000</v>
      </c>
      <c r="D63" s="18">
        <v>1007000</v>
      </c>
      <c r="E63" s="19">
        <v>16.96</v>
      </c>
      <c r="F63"/>
      <c r="G63" s="4"/>
      <c r="H63" s="5"/>
      <c r="I63" s="4"/>
      <c r="J63" s="4"/>
      <c r="K63" s="6"/>
      <c r="L63"/>
      <c r="M63" s="6"/>
      <c r="N63" s="26"/>
      <c r="O63" s="7">
        <v>1895038</v>
      </c>
      <c r="P63" s="8">
        <f t="shared" si="1"/>
        <v>67679.928571428565</v>
      </c>
      <c r="Q63" s="9">
        <f t="shared" si="2"/>
        <v>14.878857310513036</v>
      </c>
      <c r="R63" s="2"/>
    </row>
    <row r="64" spans="1:18" s="17" customFormat="1" x14ac:dyDescent="0.25">
      <c r="A64" s="3">
        <v>35125</v>
      </c>
      <c r="B64">
        <v>31</v>
      </c>
      <c r="C64" s="4">
        <f t="shared" si="0"/>
        <v>32519000</v>
      </c>
      <c r="D64" s="18">
        <v>1049000</v>
      </c>
      <c r="E64" s="19">
        <v>19.329999999999998</v>
      </c>
      <c r="F64"/>
      <c r="G64" s="4"/>
      <c r="H64" s="5"/>
      <c r="I64" s="4"/>
      <c r="J64" s="4"/>
      <c r="K64" s="6"/>
      <c r="L64"/>
      <c r="M64" s="6"/>
      <c r="N64" s="26"/>
      <c r="O64" s="7">
        <v>1994390</v>
      </c>
      <c r="P64" s="8">
        <f t="shared" si="1"/>
        <v>64335.161290322583</v>
      </c>
      <c r="Q64" s="9">
        <f t="shared" si="2"/>
        <v>16.305236187505955</v>
      </c>
      <c r="R64" s="2"/>
    </row>
    <row r="65" spans="1:18" s="17" customFormat="1" x14ac:dyDescent="0.25">
      <c r="A65" s="3">
        <v>35156</v>
      </c>
      <c r="B65">
        <v>30</v>
      </c>
      <c r="C65" s="4">
        <f t="shared" si="0"/>
        <v>31890000</v>
      </c>
      <c r="D65" s="18">
        <v>1063000</v>
      </c>
      <c r="E65" s="19">
        <v>21.52</v>
      </c>
      <c r="F65"/>
      <c r="G65" s="4"/>
      <c r="H65" s="5"/>
      <c r="I65" s="4"/>
      <c r="J65" s="4"/>
      <c r="K65" s="6"/>
      <c r="L65"/>
      <c r="M65" s="6"/>
      <c r="N65" s="26"/>
      <c r="O65" s="7">
        <v>1920386</v>
      </c>
      <c r="P65" s="8">
        <f t="shared" si="1"/>
        <v>64012.866666666669</v>
      </c>
      <c r="Q65" s="9">
        <f t="shared" si="2"/>
        <v>16.60603649474637</v>
      </c>
      <c r="R65" s="2"/>
    </row>
    <row r="66" spans="1:18" s="17" customFormat="1" x14ac:dyDescent="0.25">
      <c r="A66" s="3">
        <v>35186</v>
      </c>
      <c r="B66">
        <v>31</v>
      </c>
      <c r="C66" s="4">
        <f t="shared" si="0"/>
        <v>33511000</v>
      </c>
      <c r="D66" s="18">
        <v>1081000</v>
      </c>
      <c r="E66" s="19">
        <v>19.27</v>
      </c>
      <c r="F66"/>
      <c r="G66" s="4"/>
      <c r="H66" s="5"/>
      <c r="I66" s="4"/>
      <c r="J66" s="4"/>
      <c r="K66" s="6"/>
      <c r="L66"/>
      <c r="M66" s="6"/>
      <c r="N66" s="26"/>
      <c r="O66" s="7">
        <v>1977304</v>
      </c>
      <c r="P66" s="8">
        <f t="shared" si="1"/>
        <v>63784</v>
      </c>
      <c r="Q66" s="9">
        <f t="shared" si="2"/>
        <v>16.947823905681677</v>
      </c>
      <c r="R66" s="2"/>
    </row>
    <row r="67" spans="1:18" s="17" customFormat="1" x14ac:dyDescent="0.25">
      <c r="A67" s="3">
        <v>35217</v>
      </c>
      <c r="B67">
        <v>30</v>
      </c>
      <c r="C67" s="4">
        <f t="shared" ref="C67:C71" si="3">B67*D67</f>
        <v>32400000</v>
      </c>
      <c r="D67" s="18">
        <v>1080000</v>
      </c>
      <c r="E67" s="19">
        <v>18.579999999999998</v>
      </c>
      <c r="F67"/>
      <c r="G67" s="4"/>
      <c r="H67" s="5"/>
      <c r="I67" s="4"/>
      <c r="J67" s="4"/>
      <c r="K67" s="6"/>
      <c r="L67"/>
      <c r="M67" s="6"/>
      <c r="N67" s="26"/>
      <c r="O67" s="7">
        <v>1909751</v>
      </c>
      <c r="P67" s="8">
        <f t="shared" si="1"/>
        <v>63658.366666666669</v>
      </c>
      <c r="Q67" s="9">
        <f t="shared" si="2"/>
        <v>16.96556252621415</v>
      </c>
      <c r="R67" s="2"/>
    </row>
    <row r="68" spans="1:18" s="17" customFormat="1" x14ac:dyDescent="0.25">
      <c r="A68" s="3">
        <v>35247</v>
      </c>
      <c r="B68">
        <v>31</v>
      </c>
      <c r="C68" s="4">
        <f t="shared" si="3"/>
        <v>33449000</v>
      </c>
      <c r="D68" s="18">
        <v>1079000</v>
      </c>
      <c r="E68" s="19">
        <v>19.45</v>
      </c>
      <c r="F68"/>
      <c r="G68" s="4"/>
      <c r="H68" s="5"/>
      <c r="I68" s="4"/>
      <c r="J68" s="4"/>
      <c r="K68" s="6"/>
      <c r="L68"/>
      <c r="M68" s="6"/>
      <c r="N68" s="26"/>
      <c r="O68" s="7">
        <v>1906702</v>
      </c>
      <c r="P68" s="8">
        <f t="shared" si="1"/>
        <v>61506.516129032258</v>
      </c>
      <c r="Q68" s="9">
        <f t="shared" si="2"/>
        <v>17.542856723284498</v>
      </c>
      <c r="R68" s="2"/>
    </row>
    <row r="69" spans="1:18" s="17" customFormat="1" x14ac:dyDescent="0.25">
      <c r="A69" s="3">
        <v>35278</v>
      </c>
      <c r="B69">
        <v>31</v>
      </c>
      <c r="C69" s="4">
        <f t="shared" si="3"/>
        <v>33883000</v>
      </c>
      <c r="D69" s="18">
        <v>1093000</v>
      </c>
      <c r="E69" s="19">
        <v>20.09</v>
      </c>
      <c r="F69"/>
      <c r="G69" s="4"/>
      <c r="H69" s="5"/>
      <c r="I69" s="4"/>
      <c r="J69" s="4"/>
      <c r="K69" s="6"/>
      <c r="L69"/>
      <c r="M69" s="6"/>
      <c r="N69" s="26"/>
      <c r="O69" s="7">
        <v>1903053</v>
      </c>
      <c r="P69" s="8">
        <f t="shared" si="1"/>
        <v>61388.806451612902</v>
      </c>
      <c r="Q69" s="9">
        <f t="shared" si="2"/>
        <v>17.804548796066111</v>
      </c>
      <c r="R69" s="2"/>
    </row>
    <row r="70" spans="1:18" s="17" customFormat="1" x14ac:dyDescent="0.25">
      <c r="A70" s="3">
        <v>35309</v>
      </c>
      <c r="B70">
        <v>30</v>
      </c>
      <c r="C70" s="4">
        <f t="shared" si="3"/>
        <v>32940000</v>
      </c>
      <c r="D70" s="18">
        <v>1098000</v>
      </c>
      <c r="E70" s="19">
        <v>21.98</v>
      </c>
      <c r="F70"/>
      <c r="G70" s="4"/>
      <c r="H70" s="5"/>
      <c r="I70" s="4"/>
      <c r="J70" s="4"/>
      <c r="K70" s="6"/>
      <c r="L70"/>
      <c r="M70" s="6"/>
      <c r="N70" s="26"/>
      <c r="O70" s="7">
        <v>1842164</v>
      </c>
      <c r="P70" s="8">
        <f t="shared" si="1"/>
        <v>61405.466666666667</v>
      </c>
      <c r="Q70" s="9">
        <f t="shared" si="2"/>
        <v>17.881144132661369</v>
      </c>
      <c r="R70" s="2"/>
    </row>
    <row r="71" spans="1:18" s="17" customFormat="1" x14ac:dyDescent="0.25">
      <c r="A71" s="3">
        <v>35339</v>
      </c>
      <c r="B71">
        <v>31</v>
      </c>
      <c r="C71" s="4">
        <f t="shared" si="3"/>
        <v>34069000</v>
      </c>
      <c r="D71" s="18">
        <v>1099000</v>
      </c>
      <c r="E71" s="19">
        <v>23.06</v>
      </c>
      <c r="F71"/>
      <c r="G71" s="4"/>
      <c r="H71" s="5"/>
      <c r="I71" s="4"/>
      <c r="J71" s="4"/>
      <c r="K71" s="6"/>
      <c r="L71"/>
      <c r="M71" s="6"/>
      <c r="N71" s="26"/>
      <c r="O71" s="7">
        <v>1855274</v>
      </c>
      <c r="P71" s="8">
        <f t="shared" si="1"/>
        <v>59847.548387096773</v>
      </c>
      <c r="Q71" s="9">
        <f t="shared" si="2"/>
        <v>18.363325309361311</v>
      </c>
      <c r="R71" s="2"/>
    </row>
    <row r="72" spans="1:18" s="17" customFormat="1" x14ac:dyDescent="0.25">
      <c r="A72" s="3">
        <v>35370</v>
      </c>
      <c r="B72">
        <v>30</v>
      </c>
      <c r="C72" s="4"/>
      <c r="D72" s="18">
        <v>1076000</v>
      </c>
      <c r="E72" s="19">
        <v>21.73</v>
      </c>
      <c r="F72"/>
      <c r="G72" s="4"/>
      <c r="H72" s="5"/>
      <c r="I72" s="4"/>
      <c r="J72" s="4"/>
      <c r="K72" s="6"/>
      <c r="L72"/>
      <c r="M72" s="6"/>
      <c r="N72" s="26"/>
      <c r="O72" s="7">
        <v>1736356</v>
      </c>
      <c r="P72" s="8">
        <f t="shared" si="1"/>
        <v>57878.533333333333</v>
      </c>
      <c r="Q72" s="9">
        <f t="shared" si="2"/>
        <v>18.590657676190826</v>
      </c>
      <c r="R72" s="2"/>
    </row>
    <row r="73" spans="1:18" s="17" customFormat="1" x14ac:dyDescent="0.25">
      <c r="A73" s="3">
        <v>35400</v>
      </c>
      <c r="B73">
        <v>31</v>
      </c>
      <c r="C73" s="4"/>
      <c r="D73" s="18">
        <v>1096000</v>
      </c>
      <c r="E73" s="19">
        <v>23.13</v>
      </c>
      <c r="F73"/>
      <c r="G73" s="4"/>
      <c r="H73" s="5"/>
      <c r="I73" s="4"/>
      <c r="J73" s="4"/>
      <c r="K73" s="6"/>
      <c r="L73"/>
      <c r="M73" s="6"/>
      <c r="N73" s="26"/>
      <c r="O73" s="7">
        <v>1792862</v>
      </c>
      <c r="P73" s="8">
        <f t="shared" si="1"/>
        <v>57834.258064516129</v>
      </c>
      <c r="Q73" s="9">
        <f t="shared" si="2"/>
        <v>18.950705631554463</v>
      </c>
      <c r="R73" s="2"/>
    </row>
    <row r="74" spans="1:18" s="17" customFormat="1" x14ac:dyDescent="0.25">
      <c r="A74" s="3">
        <v>35431</v>
      </c>
      <c r="B74">
        <v>31</v>
      </c>
      <c r="C74" s="4"/>
      <c r="D74" s="18">
        <v>1094000</v>
      </c>
      <c r="E74" s="20">
        <v>23.23</v>
      </c>
      <c r="F74"/>
      <c r="G74" s="4"/>
      <c r="H74" s="5"/>
      <c r="I74" s="4"/>
      <c r="J74" s="4"/>
      <c r="K74" s="6"/>
      <c r="L74"/>
      <c r="M74" s="6"/>
      <c r="N74" s="26"/>
      <c r="O74" s="7">
        <v>1762390</v>
      </c>
      <c r="P74" s="8">
        <f t="shared" si="1"/>
        <v>56851.290322580644</v>
      </c>
      <c r="Q74" s="9">
        <f t="shared" si="2"/>
        <v>19.243186808822113</v>
      </c>
      <c r="R74" s="2"/>
    </row>
    <row r="75" spans="1:18" s="17" customFormat="1" x14ac:dyDescent="0.25">
      <c r="A75" s="3">
        <v>35462</v>
      </c>
      <c r="B75">
        <v>28</v>
      </c>
      <c r="C75" s="4"/>
      <c r="D75" s="18">
        <v>1104000</v>
      </c>
      <c r="E75" s="20">
        <v>20.21</v>
      </c>
      <c r="F75"/>
      <c r="G75" s="4"/>
      <c r="H75" s="5"/>
      <c r="I75" s="4"/>
      <c r="J75" s="4"/>
      <c r="K75" s="6"/>
      <c r="L75"/>
      <c r="M75" s="6"/>
      <c r="N75" s="26"/>
      <c r="O75" s="7">
        <v>1591978</v>
      </c>
      <c r="P75" s="8">
        <f t="shared" si="1"/>
        <v>56856.357142857145</v>
      </c>
      <c r="Q75" s="9">
        <f t="shared" si="2"/>
        <v>19.41735375740117</v>
      </c>
      <c r="R75" s="2"/>
    </row>
    <row r="76" spans="1:18" s="17" customFormat="1" x14ac:dyDescent="0.25">
      <c r="A76" s="3">
        <v>35490</v>
      </c>
      <c r="B76">
        <v>31</v>
      </c>
      <c r="C76" s="4"/>
      <c r="D76" s="18">
        <v>1105000</v>
      </c>
      <c r="E76" s="20">
        <v>18.82</v>
      </c>
      <c r="F76"/>
      <c r="G76" s="4"/>
      <c r="H76" s="5"/>
      <c r="I76" s="4"/>
      <c r="J76" s="4"/>
      <c r="K76" s="6"/>
      <c r="L76"/>
      <c r="M76" s="6"/>
      <c r="N76" s="26"/>
      <c r="O76" s="7">
        <v>1737991</v>
      </c>
      <c r="P76" s="8">
        <f t="shared" si="1"/>
        <v>56064.225806451614</v>
      </c>
      <c r="Q76" s="9">
        <f t="shared" si="2"/>
        <v>19.709538196688015</v>
      </c>
      <c r="R76" s="2"/>
    </row>
    <row r="77" spans="1:18" s="17" customFormat="1" x14ac:dyDescent="0.25">
      <c r="A77" s="3">
        <v>35521</v>
      </c>
      <c r="B77">
        <v>30</v>
      </c>
      <c r="C77" s="4"/>
      <c r="D77" s="18">
        <v>1126000</v>
      </c>
      <c r="E77" s="20">
        <v>17.73</v>
      </c>
      <c r="F77"/>
      <c r="G77" s="4"/>
      <c r="H77" s="5"/>
      <c r="I77" s="4"/>
      <c r="J77" s="4"/>
      <c r="K77" s="6"/>
      <c r="L77"/>
      <c r="M77" s="6"/>
      <c r="N77" s="26"/>
      <c r="O77" s="7">
        <v>1609924</v>
      </c>
      <c r="P77" s="8">
        <f t="shared" si="1"/>
        <v>53664.133333333331</v>
      </c>
      <c r="Q77" s="9">
        <f t="shared" si="2"/>
        <v>20.982356931134639</v>
      </c>
      <c r="R77" s="2"/>
    </row>
    <row r="78" spans="1:18" s="17" customFormat="1" x14ac:dyDescent="0.25">
      <c r="A78" s="3">
        <v>35551</v>
      </c>
      <c r="B78">
        <v>31</v>
      </c>
      <c r="C78" s="4"/>
      <c r="D78" s="18">
        <v>1118000</v>
      </c>
      <c r="E78" s="20">
        <v>18.71</v>
      </c>
      <c r="F78"/>
      <c r="G78" s="4"/>
      <c r="H78" s="5"/>
      <c r="I78" s="4"/>
      <c r="J78" s="4"/>
      <c r="K78" s="6"/>
      <c r="L78"/>
      <c r="M78" s="6"/>
      <c r="N78" s="26"/>
      <c r="O78" s="7">
        <v>1641089</v>
      </c>
      <c r="P78" s="8">
        <f t="shared" si="1"/>
        <v>52938.354838709674</v>
      </c>
      <c r="Q78" s="9">
        <f t="shared" si="2"/>
        <v>21.118903362340497</v>
      </c>
      <c r="R78" s="2"/>
    </row>
    <row r="79" spans="1:18" s="17" customFormat="1" x14ac:dyDescent="0.25">
      <c r="A79" s="3">
        <v>35582</v>
      </c>
      <c r="B79">
        <v>30</v>
      </c>
      <c r="C79" s="4"/>
      <c r="D79" s="18">
        <v>1114000</v>
      </c>
      <c r="E79" s="20">
        <v>16.91</v>
      </c>
      <c r="F79"/>
      <c r="G79" s="4"/>
      <c r="H79" s="5"/>
      <c r="I79" s="4"/>
      <c r="J79" s="4"/>
      <c r="K79" s="6"/>
      <c r="L79"/>
      <c r="M79" s="6"/>
      <c r="N79" s="26"/>
      <c r="O79" s="7">
        <v>1567338</v>
      </c>
      <c r="P79" s="8">
        <f t="shared" si="1"/>
        <v>52244.6</v>
      </c>
      <c r="Q79" s="9">
        <f t="shared" si="2"/>
        <v>21.322777856467464</v>
      </c>
      <c r="R79" s="2"/>
    </row>
    <row r="80" spans="1:18" s="17" customFormat="1" x14ac:dyDescent="0.25">
      <c r="A80" s="3">
        <v>35612</v>
      </c>
      <c r="B80">
        <v>31</v>
      </c>
      <c r="C80" s="4"/>
      <c r="D80" s="18">
        <v>1117000</v>
      </c>
      <c r="E80" s="20">
        <v>17.27</v>
      </c>
      <c r="F80"/>
      <c r="G80" s="4"/>
      <c r="H80" s="5"/>
      <c r="I80" s="4"/>
      <c r="J80" s="4"/>
      <c r="K80" s="6"/>
      <c r="L80"/>
      <c r="M80" s="6"/>
      <c r="N80" s="26"/>
      <c r="O80" s="7">
        <v>1605989</v>
      </c>
      <c r="P80" s="8">
        <f t="shared" si="1"/>
        <v>51806.096774193546</v>
      </c>
      <c r="Q80" s="9">
        <f t="shared" si="2"/>
        <v>21.561168849848912</v>
      </c>
      <c r="R80" s="2"/>
    </row>
    <row r="81" spans="1:18" s="17" customFormat="1" x14ac:dyDescent="0.25">
      <c r="A81" s="3">
        <v>35643</v>
      </c>
      <c r="B81">
        <v>31</v>
      </c>
      <c r="C81" s="4"/>
      <c r="D81" s="18">
        <v>1132000</v>
      </c>
      <c r="E81" s="20">
        <v>17.5</v>
      </c>
      <c r="F81"/>
      <c r="G81" s="4"/>
      <c r="H81" s="5"/>
      <c r="I81" s="4"/>
      <c r="J81" s="4"/>
      <c r="K81" s="6"/>
      <c r="L81"/>
      <c r="M81" s="6"/>
      <c r="N81" s="26"/>
      <c r="O81" s="7">
        <v>1599007</v>
      </c>
      <c r="P81" s="8">
        <f t="shared" si="1"/>
        <v>51580.870967741932</v>
      </c>
      <c r="Q81" s="9">
        <f t="shared" si="2"/>
        <v>21.946120310917966</v>
      </c>
      <c r="R81" s="2"/>
    </row>
    <row r="82" spans="1:18" s="17" customFormat="1" x14ac:dyDescent="0.25">
      <c r="A82" s="3">
        <v>35674</v>
      </c>
      <c r="B82">
        <v>30</v>
      </c>
      <c r="C82" s="4"/>
      <c r="D82" s="18">
        <v>1134000</v>
      </c>
      <c r="E82" s="20">
        <v>17.38</v>
      </c>
      <c r="F82"/>
      <c r="G82" s="4"/>
      <c r="H82" s="5"/>
      <c r="I82" s="4"/>
      <c r="J82" s="4"/>
      <c r="K82" s="6"/>
      <c r="L82"/>
      <c r="M82" s="6"/>
      <c r="N82" s="26"/>
      <c r="O82" s="7">
        <v>1520588</v>
      </c>
      <c r="P82" s="8">
        <f t="shared" si="1"/>
        <v>50686.26666666667</v>
      </c>
      <c r="Q82" s="9">
        <f t="shared" si="2"/>
        <v>22.372924158286136</v>
      </c>
      <c r="R82" s="2"/>
    </row>
    <row r="83" spans="1:18" s="17" customFormat="1" x14ac:dyDescent="0.25">
      <c r="A83" s="3">
        <v>35704</v>
      </c>
      <c r="B83">
        <v>31</v>
      </c>
      <c r="C83" s="4"/>
      <c r="D83" s="18">
        <v>1128000</v>
      </c>
      <c r="E83" s="20">
        <v>18.91</v>
      </c>
      <c r="F83"/>
      <c r="G83" s="4"/>
      <c r="H83" s="5"/>
      <c r="I83" s="4"/>
      <c r="J83" s="4"/>
      <c r="K83" s="6"/>
      <c r="L83"/>
      <c r="M83" s="6"/>
      <c r="N83" s="26"/>
      <c r="O83" s="7">
        <v>1559150</v>
      </c>
      <c r="P83" s="8">
        <f t="shared" si="1"/>
        <v>50295.161290322583</v>
      </c>
      <c r="Q83" s="9">
        <f t="shared" si="2"/>
        <v>22.427604784658307</v>
      </c>
      <c r="R83" s="2"/>
    </row>
    <row r="84" spans="1:18" s="17" customFormat="1" x14ac:dyDescent="0.25">
      <c r="A84" s="3">
        <v>35735</v>
      </c>
      <c r="B84">
        <v>30</v>
      </c>
      <c r="C84" s="4"/>
      <c r="D84" s="18">
        <v>1118000</v>
      </c>
      <c r="E84" s="20">
        <v>17.73</v>
      </c>
      <c r="F84"/>
      <c r="G84" s="4"/>
      <c r="H84" s="5"/>
      <c r="I84" s="4"/>
      <c r="J84" s="4"/>
      <c r="K84" s="6"/>
      <c r="L84"/>
      <c r="M84" s="6"/>
      <c r="N84" s="26"/>
      <c r="O84" s="7">
        <v>1501738</v>
      </c>
      <c r="P84" s="8">
        <f t="shared" si="1"/>
        <v>50057.933333333334</v>
      </c>
      <c r="Q84" s="9">
        <f t="shared" si="2"/>
        <v>22.334122197080983</v>
      </c>
      <c r="R84" s="2"/>
    </row>
    <row r="85" spans="1:18" s="17" customFormat="1" x14ac:dyDescent="0.25">
      <c r="A85" s="3">
        <v>35765</v>
      </c>
      <c r="B85">
        <v>31</v>
      </c>
      <c r="C85" s="4"/>
      <c r="D85" s="18">
        <v>1098000</v>
      </c>
      <c r="E85" s="20">
        <v>15.94</v>
      </c>
      <c r="F85"/>
      <c r="G85" s="4"/>
      <c r="H85" s="5"/>
      <c r="I85" s="4"/>
      <c r="J85" s="4"/>
      <c r="K85" s="6"/>
      <c r="L85"/>
      <c r="M85" s="6"/>
      <c r="N85" s="26"/>
      <c r="O85" s="7">
        <v>1545126</v>
      </c>
      <c r="P85" s="8">
        <f t="shared" si="1"/>
        <v>49842.774193548386</v>
      </c>
      <c r="Q85" s="9">
        <f t="shared" si="2"/>
        <v>22.029271399225696</v>
      </c>
      <c r="R85" s="2"/>
    </row>
    <row r="86" spans="1:18" x14ac:dyDescent="0.25">
      <c r="A86" s="3">
        <v>35796</v>
      </c>
      <c r="B86">
        <v>31</v>
      </c>
      <c r="C86" s="4">
        <v>33775964</v>
      </c>
      <c r="D86" s="4">
        <f t="shared" ref="D86:D149" si="4">+C86/B86</f>
        <v>1089547.2258064516</v>
      </c>
      <c r="E86" s="10">
        <v>14.29</v>
      </c>
      <c r="F86">
        <v>1363</v>
      </c>
      <c r="G86" s="4">
        <v>4408333</v>
      </c>
      <c r="H86" s="5">
        <f t="shared" ref="H86:H149" si="5">+(C86)/(C86-G86)</f>
        <v>1.1501085668094917</v>
      </c>
      <c r="I86" s="4">
        <v>0</v>
      </c>
      <c r="J86" s="4">
        <f t="shared" ref="J86:J149" si="6">+I86/B86</f>
        <v>0</v>
      </c>
      <c r="K86" s="6">
        <f t="shared" ref="K86:K149" si="7">+I86/C86</f>
        <v>0</v>
      </c>
      <c r="L86">
        <v>0</v>
      </c>
      <c r="M86" s="6">
        <f t="shared" ref="M86:M149" si="8">+L86/F86</f>
        <v>0</v>
      </c>
      <c r="N86" s="26"/>
      <c r="O86" s="11">
        <v>1511994</v>
      </c>
      <c r="P86" s="8">
        <f t="shared" si="1"/>
        <v>48774</v>
      </c>
      <c r="Q86" s="9">
        <f t="shared" si="2"/>
        <v>22.338689174692494</v>
      </c>
      <c r="R86" s="2"/>
    </row>
    <row r="87" spans="1:18" x14ac:dyDescent="0.25">
      <c r="A87" s="3">
        <v>35827</v>
      </c>
      <c r="B87">
        <v>28</v>
      </c>
      <c r="C87" s="4">
        <v>30600608</v>
      </c>
      <c r="D87" s="4">
        <f t="shared" si="4"/>
        <v>1092878.857142857</v>
      </c>
      <c r="E87" s="10">
        <v>13.62</v>
      </c>
      <c r="F87">
        <v>1360</v>
      </c>
      <c r="G87" s="4">
        <v>3905870</v>
      </c>
      <c r="H87" s="5">
        <f t="shared" si="5"/>
        <v>1.1463161016976455</v>
      </c>
      <c r="I87" s="4">
        <v>0</v>
      </c>
      <c r="J87" s="4">
        <f t="shared" si="6"/>
        <v>0</v>
      </c>
      <c r="K87" s="6">
        <f t="shared" si="7"/>
        <v>0</v>
      </c>
      <c r="L87">
        <v>0</v>
      </c>
      <c r="M87" s="6">
        <f t="shared" si="8"/>
        <v>0</v>
      </c>
      <c r="N87" s="26"/>
      <c r="O87" s="11">
        <v>1342143</v>
      </c>
      <c r="P87" s="8">
        <f t="shared" si="1"/>
        <v>47933.678571428572</v>
      </c>
      <c r="Q87" s="9">
        <f t="shared" si="2"/>
        <v>22.799811942542632</v>
      </c>
      <c r="R87" s="2"/>
    </row>
    <row r="88" spans="1:18" x14ac:dyDescent="0.25">
      <c r="A88" s="3">
        <v>35855</v>
      </c>
      <c r="B88">
        <v>31</v>
      </c>
      <c r="C88" s="4">
        <v>33667807</v>
      </c>
      <c r="D88" s="4">
        <f t="shared" si="4"/>
        <v>1086058.2903225806</v>
      </c>
      <c r="E88" s="10">
        <v>12.48</v>
      </c>
      <c r="F88">
        <v>1360</v>
      </c>
      <c r="G88" s="4">
        <v>5635641</v>
      </c>
      <c r="H88" s="5">
        <f t="shared" si="5"/>
        <v>1.2010419387499347</v>
      </c>
      <c r="I88" s="4">
        <v>0</v>
      </c>
      <c r="J88" s="4">
        <f t="shared" si="6"/>
        <v>0</v>
      </c>
      <c r="K88" s="6">
        <f t="shared" si="7"/>
        <v>0</v>
      </c>
      <c r="L88">
        <v>0</v>
      </c>
      <c r="M88" s="6">
        <f t="shared" si="8"/>
        <v>0</v>
      </c>
      <c r="N88" s="26"/>
      <c r="O88" s="11">
        <v>1458212</v>
      </c>
      <c r="P88" s="8">
        <f t="shared" si="1"/>
        <v>47039.096774193546</v>
      </c>
      <c r="Q88" s="9">
        <f t="shared" si="2"/>
        <v>23.088417184881212</v>
      </c>
      <c r="R88" s="2"/>
    </row>
    <row r="89" spans="1:18" x14ac:dyDescent="0.25">
      <c r="A89" s="3">
        <v>35886</v>
      </c>
      <c r="B89">
        <v>30</v>
      </c>
      <c r="C89" s="4">
        <v>31762202</v>
      </c>
      <c r="D89" s="4">
        <f t="shared" si="4"/>
        <v>1058740.0666666667</v>
      </c>
      <c r="E89" s="10">
        <v>12.88</v>
      </c>
      <c r="F89">
        <v>1356</v>
      </c>
      <c r="G89" s="4">
        <v>5449121</v>
      </c>
      <c r="H89" s="5">
        <f t="shared" si="5"/>
        <v>1.2070879119020688</v>
      </c>
      <c r="I89" s="4">
        <v>0</v>
      </c>
      <c r="J89" s="4">
        <f t="shared" si="6"/>
        <v>0</v>
      </c>
      <c r="K89" s="6">
        <f t="shared" si="7"/>
        <v>0</v>
      </c>
      <c r="L89">
        <v>0</v>
      </c>
      <c r="M89" s="6">
        <f t="shared" si="8"/>
        <v>0</v>
      </c>
      <c r="N89" s="26"/>
      <c r="O89" s="11">
        <v>1356534</v>
      </c>
      <c r="P89" s="8">
        <f t="shared" si="1"/>
        <v>45217.8</v>
      </c>
      <c r="Q89" s="9">
        <f t="shared" si="2"/>
        <v>23.41423215341451</v>
      </c>
      <c r="R89" s="2"/>
    </row>
    <row r="90" spans="1:18" x14ac:dyDescent="0.25">
      <c r="A90" s="3">
        <v>35916</v>
      </c>
      <c r="B90">
        <v>31</v>
      </c>
      <c r="C90" s="4">
        <v>32499828</v>
      </c>
      <c r="D90" s="4">
        <f t="shared" si="4"/>
        <v>1048381.5483870967</v>
      </c>
      <c r="E90" s="10">
        <v>12.27</v>
      </c>
      <c r="F90">
        <v>1339</v>
      </c>
      <c r="G90" s="4">
        <v>5797109</v>
      </c>
      <c r="H90" s="5">
        <f t="shared" si="5"/>
        <v>1.2170980790383181</v>
      </c>
      <c r="I90" s="4">
        <v>0</v>
      </c>
      <c r="J90" s="4">
        <f t="shared" si="6"/>
        <v>0</v>
      </c>
      <c r="K90" s="6">
        <f t="shared" si="7"/>
        <v>0</v>
      </c>
      <c r="L90">
        <v>0</v>
      </c>
      <c r="M90" s="6">
        <f t="shared" si="8"/>
        <v>0</v>
      </c>
      <c r="N90" s="26"/>
      <c r="O90" s="11">
        <v>1395908</v>
      </c>
      <c r="P90" s="8">
        <f t="shared" ref="P90:P153" si="9">+O90/B90</f>
        <v>45029.290322580644</v>
      </c>
      <c r="Q90" s="9">
        <f t="shared" ref="Q90:Q153" si="10">+(D90-(N90/B90))/P90</f>
        <v>23.282213441000408</v>
      </c>
      <c r="R90" s="2"/>
    </row>
    <row r="91" spans="1:18" x14ac:dyDescent="0.25">
      <c r="A91" s="3">
        <v>35947</v>
      </c>
      <c r="B91">
        <v>30</v>
      </c>
      <c r="C91" s="4">
        <v>30791705</v>
      </c>
      <c r="D91" s="4">
        <f t="shared" si="4"/>
        <v>1026390.1666666666</v>
      </c>
      <c r="E91" s="10">
        <v>10.78</v>
      </c>
      <c r="F91">
        <v>1318</v>
      </c>
      <c r="G91" s="4">
        <v>5898855</v>
      </c>
      <c r="H91" s="5">
        <f t="shared" si="5"/>
        <v>1.2369698527890538</v>
      </c>
      <c r="I91" s="4">
        <v>0</v>
      </c>
      <c r="J91" s="4">
        <f t="shared" si="6"/>
        <v>0</v>
      </c>
      <c r="K91" s="6">
        <f t="shared" si="7"/>
        <v>0</v>
      </c>
      <c r="L91">
        <v>0</v>
      </c>
      <c r="M91" s="6">
        <f t="shared" si="8"/>
        <v>0</v>
      </c>
      <c r="N91" s="26"/>
      <c r="O91" s="11">
        <v>1319125</v>
      </c>
      <c r="P91" s="8">
        <f t="shared" si="9"/>
        <v>43970.833333333336</v>
      </c>
      <c r="Q91" s="9">
        <f t="shared" si="10"/>
        <v>23.342522505448684</v>
      </c>
      <c r="R91" s="2"/>
    </row>
    <row r="92" spans="1:18" x14ac:dyDescent="0.25">
      <c r="A92" s="3">
        <v>35977</v>
      </c>
      <c r="B92">
        <v>31</v>
      </c>
      <c r="C92" s="4">
        <v>31167243</v>
      </c>
      <c r="D92" s="4">
        <f t="shared" si="4"/>
        <v>1005394.9354838709</v>
      </c>
      <c r="E92" s="10">
        <v>11.24</v>
      </c>
      <c r="F92">
        <v>1282</v>
      </c>
      <c r="G92" s="4">
        <v>5977555</v>
      </c>
      <c r="H92" s="5">
        <f t="shared" si="5"/>
        <v>1.2373016688416307</v>
      </c>
      <c r="I92" s="4">
        <v>0</v>
      </c>
      <c r="J92" s="4">
        <f t="shared" si="6"/>
        <v>0</v>
      </c>
      <c r="K92" s="6">
        <f t="shared" si="7"/>
        <v>0</v>
      </c>
      <c r="L92">
        <v>0</v>
      </c>
      <c r="M92" s="6">
        <f t="shared" si="8"/>
        <v>0</v>
      </c>
      <c r="N92" s="26"/>
      <c r="O92" s="11">
        <v>1325180</v>
      </c>
      <c r="P92" s="8">
        <f t="shared" si="9"/>
        <v>42747.741935483871</v>
      </c>
      <c r="Q92" s="9">
        <f t="shared" si="10"/>
        <v>23.519252478908523</v>
      </c>
      <c r="R92" s="2"/>
    </row>
    <row r="93" spans="1:18" x14ac:dyDescent="0.25">
      <c r="A93" s="3">
        <v>36008</v>
      </c>
      <c r="B93">
        <v>31</v>
      </c>
      <c r="C93" s="4">
        <v>30457951</v>
      </c>
      <c r="D93" s="4">
        <f t="shared" si="4"/>
        <v>982514.54838709673</v>
      </c>
      <c r="E93" s="10">
        <v>10.63</v>
      </c>
      <c r="F93">
        <v>1262</v>
      </c>
      <c r="G93" s="4">
        <v>6500848</v>
      </c>
      <c r="H93" s="5">
        <f t="shared" si="5"/>
        <v>1.2713536774458916</v>
      </c>
      <c r="I93" s="4">
        <v>0</v>
      </c>
      <c r="J93" s="4">
        <f t="shared" si="6"/>
        <v>0</v>
      </c>
      <c r="K93" s="6">
        <f t="shared" si="7"/>
        <v>0</v>
      </c>
      <c r="L93">
        <v>0</v>
      </c>
      <c r="M93" s="6">
        <f t="shared" si="8"/>
        <v>0</v>
      </c>
      <c r="N93" s="26"/>
      <c r="O93" s="11">
        <v>1296153</v>
      </c>
      <c r="P93" s="8">
        <f t="shared" si="9"/>
        <v>41811.387096774197</v>
      </c>
      <c r="Q93" s="9">
        <f t="shared" si="10"/>
        <v>23.49873124546253</v>
      </c>
      <c r="R93" s="2"/>
    </row>
    <row r="94" spans="1:18" x14ac:dyDescent="0.25">
      <c r="A94" s="3">
        <v>36039</v>
      </c>
      <c r="B94">
        <v>30</v>
      </c>
      <c r="C94" s="4">
        <v>28965780</v>
      </c>
      <c r="D94" s="4">
        <f t="shared" si="4"/>
        <v>965526</v>
      </c>
      <c r="E94" s="10">
        <v>12.13</v>
      </c>
      <c r="F94">
        <v>1256</v>
      </c>
      <c r="G94" s="4">
        <v>6522362</v>
      </c>
      <c r="H94" s="5">
        <f t="shared" si="5"/>
        <v>1.2906135776645073</v>
      </c>
      <c r="I94" s="4">
        <v>0</v>
      </c>
      <c r="J94" s="4">
        <f t="shared" si="6"/>
        <v>0</v>
      </c>
      <c r="K94" s="6">
        <f t="shared" si="7"/>
        <v>0</v>
      </c>
      <c r="L94">
        <v>0</v>
      </c>
      <c r="M94" s="6">
        <f t="shared" si="8"/>
        <v>0</v>
      </c>
      <c r="N94" s="26"/>
      <c r="O94" s="11">
        <v>1216893</v>
      </c>
      <c r="P94" s="8">
        <f t="shared" si="9"/>
        <v>40563.1</v>
      </c>
      <c r="Q94" s="9">
        <f t="shared" si="10"/>
        <v>23.803062389215814</v>
      </c>
      <c r="R94" s="2"/>
    </row>
    <row r="95" spans="1:18" x14ac:dyDescent="0.25">
      <c r="A95" s="3">
        <v>36069</v>
      </c>
      <c r="B95">
        <v>31</v>
      </c>
      <c r="C95" s="4">
        <v>29960194</v>
      </c>
      <c r="D95" s="4">
        <f t="shared" si="4"/>
        <v>966457.87096774194</v>
      </c>
      <c r="E95" s="10">
        <v>11.62</v>
      </c>
      <c r="F95">
        <v>1255</v>
      </c>
      <c r="G95" s="4">
        <v>6991437</v>
      </c>
      <c r="H95" s="5">
        <f t="shared" si="5"/>
        <v>1.3043890011113792</v>
      </c>
      <c r="I95" s="4">
        <v>0</v>
      </c>
      <c r="J95" s="4">
        <f t="shared" si="6"/>
        <v>0</v>
      </c>
      <c r="K95" s="6">
        <f t="shared" si="7"/>
        <v>0</v>
      </c>
      <c r="L95">
        <v>0</v>
      </c>
      <c r="M95" s="6">
        <f t="shared" si="8"/>
        <v>0</v>
      </c>
      <c r="N95" s="26"/>
      <c r="O95" s="11">
        <v>1248665</v>
      </c>
      <c r="P95" s="8">
        <f t="shared" si="9"/>
        <v>40279.516129032258</v>
      </c>
      <c r="Q95" s="9">
        <f t="shared" si="10"/>
        <v>23.993780557635557</v>
      </c>
      <c r="R95" s="2"/>
    </row>
    <row r="96" spans="1:18" x14ac:dyDescent="0.25">
      <c r="A96" s="3">
        <v>36100</v>
      </c>
      <c r="B96">
        <v>30</v>
      </c>
      <c r="C96" s="4">
        <v>28103935</v>
      </c>
      <c r="D96" s="4">
        <f t="shared" si="4"/>
        <v>936797.83333333337</v>
      </c>
      <c r="E96" s="10">
        <v>10.09</v>
      </c>
      <c r="F96">
        <v>1252</v>
      </c>
      <c r="G96" s="4">
        <v>5853867</v>
      </c>
      <c r="H96" s="5">
        <f t="shared" si="5"/>
        <v>1.2630943420038088</v>
      </c>
      <c r="I96" s="4">
        <v>0</v>
      </c>
      <c r="J96" s="4">
        <f t="shared" si="6"/>
        <v>0</v>
      </c>
      <c r="K96" s="6">
        <f t="shared" si="7"/>
        <v>0</v>
      </c>
      <c r="L96">
        <v>0</v>
      </c>
      <c r="M96" s="6">
        <f t="shared" si="8"/>
        <v>0</v>
      </c>
      <c r="N96" s="26"/>
      <c r="O96" s="11">
        <v>1173672</v>
      </c>
      <c r="P96" s="8">
        <f t="shared" si="9"/>
        <v>39122.400000000001</v>
      </c>
      <c r="Q96" s="9">
        <f t="shared" si="10"/>
        <v>23.945305843540613</v>
      </c>
      <c r="R96" s="2"/>
    </row>
    <row r="97" spans="1:18" x14ac:dyDescent="0.25">
      <c r="A97" s="3">
        <v>36130</v>
      </c>
      <c r="B97">
        <v>31</v>
      </c>
      <c r="C97" s="4">
        <v>27835555</v>
      </c>
      <c r="D97" s="4">
        <f t="shared" si="4"/>
        <v>897921.12903225806</v>
      </c>
      <c r="E97" s="10">
        <v>8.35</v>
      </c>
      <c r="F97">
        <v>1249</v>
      </c>
      <c r="G97" s="4">
        <v>6075246</v>
      </c>
      <c r="H97" s="5">
        <f t="shared" si="5"/>
        <v>1.2791893258501064</v>
      </c>
      <c r="I97" s="4">
        <v>0</v>
      </c>
      <c r="J97" s="4">
        <f t="shared" si="6"/>
        <v>0</v>
      </c>
      <c r="K97" s="6">
        <f t="shared" si="7"/>
        <v>0</v>
      </c>
      <c r="L97">
        <v>0</v>
      </c>
      <c r="M97" s="6">
        <f t="shared" si="8"/>
        <v>0</v>
      </c>
      <c r="N97" s="26"/>
      <c r="O97" s="11">
        <v>1162133</v>
      </c>
      <c r="P97" s="8">
        <f t="shared" si="9"/>
        <v>37488.161290322583</v>
      </c>
      <c r="Q97" s="9">
        <f t="shared" si="10"/>
        <v>23.952125100999627</v>
      </c>
      <c r="R97" s="2"/>
    </row>
    <row r="98" spans="1:18" x14ac:dyDescent="0.25">
      <c r="A98" s="3">
        <v>36161</v>
      </c>
      <c r="B98">
        <v>31</v>
      </c>
      <c r="C98" s="4">
        <v>27200576</v>
      </c>
      <c r="D98" s="4">
        <f t="shared" si="4"/>
        <v>877437.93548387091</v>
      </c>
      <c r="E98" s="10">
        <v>9.6</v>
      </c>
      <c r="F98">
        <v>1243</v>
      </c>
      <c r="G98" s="4">
        <v>6031664</v>
      </c>
      <c r="H98" s="5">
        <f t="shared" si="5"/>
        <v>1.2849302788919903</v>
      </c>
      <c r="I98" s="4">
        <v>0</v>
      </c>
      <c r="J98" s="4">
        <f t="shared" si="6"/>
        <v>0</v>
      </c>
      <c r="K98" s="6">
        <f t="shared" si="7"/>
        <v>0</v>
      </c>
      <c r="L98">
        <v>0</v>
      </c>
      <c r="M98" s="6">
        <f t="shared" si="8"/>
        <v>0</v>
      </c>
      <c r="N98" s="26"/>
      <c r="O98" s="11">
        <v>1120526</v>
      </c>
      <c r="P98" s="8">
        <f t="shared" si="9"/>
        <v>36146</v>
      </c>
      <c r="Q98" s="9">
        <f t="shared" si="10"/>
        <v>24.27482807181627</v>
      </c>
      <c r="R98" s="2"/>
    </row>
    <row r="99" spans="1:18" x14ac:dyDescent="0.25">
      <c r="A99" s="3">
        <v>36192</v>
      </c>
      <c r="B99">
        <v>28</v>
      </c>
      <c r="C99" s="4">
        <v>24781902</v>
      </c>
      <c r="D99" s="4">
        <f t="shared" si="4"/>
        <v>885067.92857142852</v>
      </c>
      <c r="E99" s="10">
        <v>9.0399999999999991</v>
      </c>
      <c r="F99">
        <v>1239</v>
      </c>
      <c r="G99" s="4">
        <v>5664744</v>
      </c>
      <c r="H99" s="5">
        <f t="shared" si="5"/>
        <v>1.2963172664053935</v>
      </c>
      <c r="I99" s="4">
        <v>0</v>
      </c>
      <c r="J99" s="4">
        <f t="shared" si="6"/>
        <v>0</v>
      </c>
      <c r="K99" s="6">
        <f t="shared" si="7"/>
        <v>0</v>
      </c>
      <c r="L99">
        <v>0</v>
      </c>
      <c r="M99" s="6">
        <f t="shared" si="8"/>
        <v>0</v>
      </c>
      <c r="N99" s="26"/>
      <c r="O99" s="11">
        <v>1016349</v>
      </c>
      <c r="P99" s="8">
        <f t="shared" si="9"/>
        <v>36298.178571428572</v>
      </c>
      <c r="Q99" s="9">
        <f t="shared" si="10"/>
        <v>24.383260080936761</v>
      </c>
      <c r="R99" s="2"/>
    </row>
    <row r="100" spans="1:18" x14ac:dyDescent="0.25">
      <c r="A100" s="3">
        <v>36220</v>
      </c>
      <c r="B100">
        <v>31</v>
      </c>
      <c r="C100" s="4">
        <v>26888919</v>
      </c>
      <c r="D100" s="4">
        <f t="shared" si="4"/>
        <v>867384.48387096776</v>
      </c>
      <c r="E100" s="10">
        <v>11.79</v>
      </c>
      <c r="F100">
        <v>1226</v>
      </c>
      <c r="G100" s="4">
        <v>6311636</v>
      </c>
      <c r="H100" s="5">
        <f t="shared" si="5"/>
        <v>1.3067283469834186</v>
      </c>
      <c r="I100" s="4">
        <v>0</v>
      </c>
      <c r="J100" s="4">
        <f t="shared" si="6"/>
        <v>0</v>
      </c>
      <c r="K100" s="6">
        <f t="shared" si="7"/>
        <v>0</v>
      </c>
      <c r="L100">
        <v>0</v>
      </c>
      <c r="M100" s="6">
        <f t="shared" si="8"/>
        <v>0</v>
      </c>
      <c r="N100" s="26"/>
      <c r="O100" s="11">
        <v>1097290</v>
      </c>
      <c r="P100" s="8">
        <f t="shared" si="9"/>
        <v>35396.451612903227</v>
      </c>
      <c r="Q100" s="9">
        <f t="shared" si="10"/>
        <v>24.504842840087854</v>
      </c>
      <c r="R100" s="2"/>
    </row>
    <row r="101" spans="1:18" x14ac:dyDescent="0.25">
      <c r="A101" s="3">
        <v>36251</v>
      </c>
      <c r="B101">
        <v>30</v>
      </c>
      <c r="C101" s="4">
        <v>25895765</v>
      </c>
      <c r="D101" s="4">
        <f t="shared" si="4"/>
        <v>863192.16666666663</v>
      </c>
      <c r="E101" s="10">
        <v>14.36</v>
      </c>
      <c r="F101">
        <v>1218</v>
      </c>
      <c r="G101" s="4">
        <v>5312856</v>
      </c>
      <c r="H101" s="5">
        <f t="shared" si="5"/>
        <v>1.2581197827770603</v>
      </c>
      <c r="I101" s="4">
        <v>5747156</v>
      </c>
      <c r="J101" s="4">
        <f t="shared" si="6"/>
        <v>191571.86666666667</v>
      </c>
      <c r="K101" s="6">
        <f t="shared" si="7"/>
        <v>0.22193420429942889</v>
      </c>
      <c r="L101">
        <v>83</v>
      </c>
      <c r="M101" s="6">
        <f t="shared" si="8"/>
        <v>6.8144499178981938E-2</v>
      </c>
      <c r="N101" s="26"/>
      <c r="O101" s="11">
        <v>1025802</v>
      </c>
      <c r="P101" s="8">
        <f t="shared" si="9"/>
        <v>34193.4</v>
      </c>
      <c r="Q101" s="9">
        <f t="shared" si="10"/>
        <v>25.244408765044323</v>
      </c>
      <c r="R101" s="2"/>
    </row>
    <row r="102" spans="1:18" x14ac:dyDescent="0.25">
      <c r="A102" s="3">
        <v>36281</v>
      </c>
      <c r="B102">
        <v>31</v>
      </c>
      <c r="C102" s="4">
        <v>27141750</v>
      </c>
      <c r="D102" s="4">
        <f t="shared" si="4"/>
        <v>875540.32258064521</v>
      </c>
      <c r="E102" s="10">
        <v>14.94</v>
      </c>
      <c r="F102">
        <v>1212</v>
      </c>
      <c r="G102" s="4">
        <v>4799128</v>
      </c>
      <c r="H102" s="5">
        <f t="shared" si="5"/>
        <v>1.2147969920450696</v>
      </c>
      <c r="I102" s="4">
        <v>9920424</v>
      </c>
      <c r="J102" s="4">
        <f t="shared" si="6"/>
        <v>320013.67741935485</v>
      </c>
      <c r="K102" s="6">
        <f t="shared" si="7"/>
        <v>0.3655042139876758</v>
      </c>
      <c r="L102">
        <v>171</v>
      </c>
      <c r="M102" s="6">
        <f t="shared" si="8"/>
        <v>0.14108910891089108</v>
      </c>
      <c r="N102" s="26"/>
      <c r="O102" s="11">
        <v>1032199</v>
      </c>
      <c r="P102" s="8">
        <f t="shared" si="9"/>
        <v>33296.741935483871</v>
      </c>
      <c r="Q102" s="9">
        <f t="shared" si="10"/>
        <v>26.29507488381601</v>
      </c>
      <c r="R102" s="2"/>
    </row>
    <row r="103" spans="1:18" x14ac:dyDescent="0.25">
      <c r="A103" s="3">
        <v>36312</v>
      </c>
      <c r="B103">
        <v>30</v>
      </c>
      <c r="C103" s="4">
        <v>26643345</v>
      </c>
      <c r="D103" s="4">
        <f t="shared" si="4"/>
        <v>888111.5</v>
      </c>
      <c r="E103" s="10">
        <v>15.06</v>
      </c>
      <c r="F103">
        <v>1212</v>
      </c>
      <c r="G103" s="4">
        <v>3320307</v>
      </c>
      <c r="H103" s="5">
        <f t="shared" si="5"/>
        <v>1.1423616854716783</v>
      </c>
      <c r="I103" s="4">
        <v>14186090</v>
      </c>
      <c r="J103" s="4">
        <f t="shared" si="6"/>
        <v>472869.66666666669</v>
      </c>
      <c r="K103" s="6">
        <f t="shared" si="7"/>
        <v>0.53244403058249634</v>
      </c>
      <c r="L103">
        <v>241</v>
      </c>
      <c r="M103" s="6">
        <f t="shared" si="8"/>
        <v>0.19884488448844884</v>
      </c>
      <c r="N103" s="26"/>
      <c r="O103" s="11">
        <v>977263</v>
      </c>
      <c r="P103" s="8">
        <f t="shared" si="9"/>
        <v>32575.433333333334</v>
      </c>
      <c r="Q103" s="9">
        <f t="shared" si="10"/>
        <v>27.263229038651826</v>
      </c>
      <c r="R103" s="2"/>
    </row>
    <row r="104" spans="1:18" x14ac:dyDescent="0.25">
      <c r="A104" s="3">
        <v>36342</v>
      </c>
      <c r="B104">
        <v>31</v>
      </c>
      <c r="C104" s="4">
        <v>27583327</v>
      </c>
      <c r="D104" s="4">
        <f t="shared" si="4"/>
        <v>889784.74193548388</v>
      </c>
      <c r="E104" s="10">
        <v>17.18</v>
      </c>
      <c r="F104">
        <v>1206</v>
      </c>
      <c r="G104" s="4">
        <v>3712829</v>
      </c>
      <c r="H104" s="5">
        <f t="shared" si="5"/>
        <v>1.1555404918657333</v>
      </c>
      <c r="I104" s="4">
        <v>15031356</v>
      </c>
      <c r="J104" s="4">
        <f t="shared" si="6"/>
        <v>484882.45161290321</v>
      </c>
      <c r="K104" s="6">
        <f t="shared" si="7"/>
        <v>0.54494354506256626</v>
      </c>
      <c r="L104">
        <v>256</v>
      </c>
      <c r="M104" s="6">
        <f t="shared" si="8"/>
        <v>0.21227197346600332</v>
      </c>
      <c r="N104" s="26"/>
      <c r="O104" s="11">
        <v>985040</v>
      </c>
      <c r="P104" s="8">
        <f t="shared" si="9"/>
        <v>31775.483870967742</v>
      </c>
      <c r="Q104" s="9">
        <f t="shared" si="10"/>
        <v>28.002240518151545</v>
      </c>
      <c r="R104" s="2"/>
    </row>
    <row r="105" spans="1:18" x14ac:dyDescent="0.25">
      <c r="A105" s="3">
        <v>36373</v>
      </c>
      <c r="B105">
        <v>31</v>
      </c>
      <c r="C105" s="4">
        <v>28144454</v>
      </c>
      <c r="D105" s="4">
        <f t="shared" si="4"/>
        <v>907885.61290322582</v>
      </c>
      <c r="E105" s="10">
        <v>18.27</v>
      </c>
      <c r="F105">
        <v>1209</v>
      </c>
      <c r="G105" s="4">
        <v>3309678</v>
      </c>
      <c r="H105" s="5">
        <f t="shared" si="5"/>
        <v>1.1332678821020974</v>
      </c>
      <c r="I105" s="4">
        <v>16626064</v>
      </c>
      <c r="J105" s="4">
        <f t="shared" si="6"/>
        <v>536324.6451612903</v>
      </c>
      <c r="K105" s="6">
        <f t="shared" si="7"/>
        <v>0.59074032844978974</v>
      </c>
      <c r="L105">
        <v>268</v>
      </c>
      <c r="M105" s="6">
        <f t="shared" si="8"/>
        <v>0.22167080231596362</v>
      </c>
      <c r="N105" s="26"/>
      <c r="O105" s="11">
        <v>961811</v>
      </c>
      <c r="P105" s="8">
        <f t="shared" si="9"/>
        <v>31026.16129032258</v>
      </c>
      <c r="Q105" s="9">
        <f t="shared" si="10"/>
        <v>29.261938156248995</v>
      </c>
      <c r="R105" s="2"/>
    </row>
    <row r="106" spans="1:18" x14ac:dyDescent="0.25">
      <c r="A106" s="3">
        <v>36404</v>
      </c>
      <c r="B106">
        <v>30</v>
      </c>
      <c r="C106" s="4">
        <v>27702739</v>
      </c>
      <c r="D106" s="4">
        <f t="shared" si="4"/>
        <v>923424.6333333333</v>
      </c>
      <c r="E106" s="10">
        <v>20.69</v>
      </c>
      <c r="F106">
        <v>1214</v>
      </c>
      <c r="G106" s="4">
        <v>3143145</v>
      </c>
      <c r="H106" s="5">
        <f t="shared" si="5"/>
        <v>1.1279803322481634</v>
      </c>
      <c r="I106" s="4">
        <v>17546052</v>
      </c>
      <c r="J106" s="4">
        <f t="shared" si="6"/>
        <v>584868.4</v>
      </c>
      <c r="K106" s="6">
        <f t="shared" si="7"/>
        <v>0.6333688520835431</v>
      </c>
      <c r="L106">
        <v>281</v>
      </c>
      <c r="M106" s="6">
        <f t="shared" si="8"/>
        <v>0.23146622734761121</v>
      </c>
      <c r="N106" s="26"/>
      <c r="O106" s="11">
        <v>916015</v>
      </c>
      <c r="P106" s="8">
        <f t="shared" si="9"/>
        <v>30533.833333333332</v>
      </c>
      <c r="Q106" s="9">
        <f t="shared" si="10"/>
        <v>30.242669606938751</v>
      </c>
      <c r="R106" s="2"/>
    </row>
    <row r="107" spans="1:18" x14ac:dyDescent="0.25">
      <c r="A107" s="3">
        <v>36434</v>
      </c>
      <c r="B107">
        <v>31</v>
      </c>
      <c r="C107" s="4">
        <v>28701129</v>
      </c>
      <c r="D107" s="4">
        <f t="shared" si="4"/>
        <v>925842.87096774194</v>
      </c>
      <c r="E107">
        <v>19.649999999999999</v>
      </c>
      <c r="F107">
        <v>1202</v>
      </c>
      <c r="G107" s="4">
        <v>2678927</v>
      </c>
      <c r="H107" s="5">
        <f t="shared" si="5"/>
        <v>1.1029477443915008</v>
      </c>
      <c r="I107" s="4">
        <v>18396225</v>
      </c>
      <c r="J107" s="4">
        <f t="shared" si="6"/>
        <v>593426.61290322582</v>
      </c>
      <c r="K107" s="6">
        <f t="shared" si="7"/>
        <v>0.64095823547568465</v>
      </c>
      <c r="L107">
        <v>283</v>
      </c>
      <c r="M107" s="6">
        <f t="shared" si="8"/>
        <v>0.23544093178036607</v>
      </c>
      <c r="N107" s="26"/>
      <c r="O107" s="11">
        <v>921212</v>
      </c>
      <c r="P107" s="8">
        <f t="shared" si="9"/>
        <v>29716.516129032258</v>
      </c>
      <c r="Q107" s="9">
        <f t="shared" si="10"/>
        <v>31.155834921820386</v>
      </c>
      <c r="R107" s="2"/>
    </row>
    <row r="108" spans="1:18" x14ac:dyDescent="0.25">
      <c r="A108" s="3">
        <v>36465</v>
      </c>
      <c r="B108">
        <v>30</v>
      </c>
      <c r="C108" s="4">
        <v>27499240</v>
      </c>
      <c r="D108" s="4">
        <f t="shared" si="4"/>
        <v>916641.33333333337</v>
      </c>
      <c r="E108" s="10">
        <v>21.99</v>
      </c>
      <c r="F108">
        <v>1192</v>
      </c>
      <c r="G108" s="4">
        <v>1971645</v>
      </c>
      <c r="H108" s="5">
        <f t="shared" si="5"/>
        <v>1.0772358304807015</v>
      </c>
      <c r="I108" s="4">
        <v>18308804</v>
      </c>
      <c r="J108" s="4">
        <f t="shared" si="6"/>
        <v>610293.46666666667</v>
      </c>
      <c r="K108" s="6">
        <f t="shared" si="7"/>
        <v>0.66579309100906059</v>
      </c>
      <c r="L108">
        <v>286</v>
      </c>
      <c r="M108" s="6">
        <f t="shared" si="8"/>
        <v>0.23993288590604026</v>
      </c>
      <c r="N108" s="26"/>
      <c r="O108" s="11">
        <v>864148</v>
      </c>
      <c r="P108" s="8">
        <f t="shared" si="9"/>
        <v>28804.933333333334</v>
      </c>
      <c r="Q108" s="9">
        <f t="shared" si="10"/>
        <v>31.822373019436487</v>
      </c>
      <c r="R108" s="2"/>
    </row>
    <row r="109" spans="1:18" x14ac:dyDescent="0.25">
      <c r="A109" s="3">
        <v>36495</v>
      </c>
      <c r="B109">
        <v>31</v>
      </c>
      <c r="C109" s="4">
        <v>28622181</v>
      </c>
      <c r="D109" s="4">
        <f t="shared" si="4"/>
        <v>923296.16129032255</v>
      </c>
      <c r="E109" s="10">
        <v>22.96</v>
      </c>
      <c r="F109">
        <v>1188</v>
      </c>
      <c r="G109" s="4">
        <v>1919915</v>
      </c>
      <c r="H109" s="5">
        <f t="shared" si="5"/>
        <v>1.0719008266938843</v>
      </c>
      <c r="I109" s="4">
        <v>19339518</v>
      </c>
      <c r="J109" s="4">
        <f t="shared" si="6"/>
        <v>623855.41935483867</v>
      </c>
      <c r="K109" s="6">
        <f t="shared" si="7"/>
        <v>0.67568289083211375</v>
      </c>
      <c r="L109">
        <v>296</v>
      </c>
      <c r="M109" s="6">
        <f t="shared" si="8"/>
        <v>0.24915824915824916</v>
      </c>
      <c r="N109" s="26"/>
      <c r="O109" s="11">
        <v>867672</v>
      </c>
      <c r="P109" s="8">
        <f t="shared" si="9"/>
        <v>27989.419354838708</v>
      </c>
      <c r="Q109" s="9">
        <f t="shared" si="10"/>
        <v>32.987328160871847</v>
      </c>
      <c r="R109" s="2"/>
    </row>
    <row r="110" spans="1:18" x14ac:dyDescent="0.25">
      <c r="A110" s="3">
        <v>36526</v>
      </c>
      <c r="B110">
        <v>31</v>
      </c>
      <c r="C110" s="4">
        <v>28819727</v>
      </c>
      <c r="D110" s="4">
        <f t="shared" si="4"/>
        <v>929668.61290322582</v>
      </c>
      <c r="E110" s="10">
        <v>23.83</v>
      </c>
      <c r="F110">
        <v>1187</v>
      </c>
      <c r="G110" s="4">
        <v>1528642</v>
      </c>
      <c r="H110" s="5">
        <f t="shared" si="5"/>
        <v>1.0560125037168731</v>
      </c>
      <c r="I110" s="4">
        <v>19902635</v>
      </c>
      <c r="J110" s="4">
        <f t="shared" si="6"/>
        <v>642020.48387096776</v>
      </c>
      <c r="K110" s="6">
        <f t="shared" si="7"/>
        <v>0.69059068463764417</v>
      </c>
      <c r="L110">
        <v>299</v>
      </c>
      <c r="M110" s="6">
        <f t="shared" si="8"/>
        <v>0.25189553496208927</v>
      </c>
      <c r="N110" s="26"/>
      <c r="O110" s="11">
        <v>852938</v>
      </c>
      <c r="P110" s="8">
        <f t="shared" si="9"/>
        <v>27514.129032258064</v>
      </c>
      <c r="Q110" s="9">
        <f t="shared" si="10"/>
        <v>33.788771282320639</v>
      </c>
      <c r="R110" s="2"/>
    </row>
    <row r="111" spans="1:18" x14ac:dyDescent="0.25">
      <c r="A111" s="3">
        <v>36557</v>
      </c>
      <c r="B111">
        <v>29</v>
      </c>
      <c r="C111" s="4">
        <v>27652707</v>
      </c>
      <c r="D111" s="4">
        <f t="shared" si="4"/>
        <v>953541.62068965519</v>
      </c>
      <c r="E111" s="10">
        <v>26.29</v>
      </c>
      <c r="F111">
        <v>1179</v>
      </c>
      <c r="G111" s="4">
        <v>1094882</v>
      </c>
      <c r="H111" s="5">
        <f t="shared" si="5"/>
        <v>1.0412263428951731</v>
      </c>
      <c r="I111" s="4">
        <v>19158357</v>
      </c>
      <c r="J111" s="4">
        <f t="shared" si="6"/>
        <v>660633</v>
      </c>
      <c r="K111" s="6">
        <f t="shared" si="7"/>
        <v>0.69282030869527533</v>
      </c>
      <c r="L111">
        <v>306</v>
      </c>
      <c r="M111" s="6">
        <f t="shared" si="8"/>
        <v>0.25954198473282442</v>
      </c>
      <c r="N111" s="26"/>
      <c r="O111" s="11">
        <v>781821</v>
      </c>
      <c r="P111" s="8">
        <f t="shared" si="9"/>
        <v>26959.344827586207</v>
      </c>
      <c r="Q111" s="9">
        <f t="shared" si="10"/>
        <v>35.369614016507619</v>
      </c>
      <c r="R111" s="2"/>
    </row>
    <row r="112" spans="1:18" x14ac:dyDescent="0.25">
      <c r="A112" s="3">
        <v>36586</v>
      </c>
      <c r="B112">
        <v>31</v>
      </c>
      <c r="C112" s="4">
        <v>30095745</v>
      </c>
      <c r="D112" s="4">
        <f t="shared" si="4"/>
        <v>970830.48387096776</v>
      </c>
      <c r="E112" s="10">
        <v>26.94</v>
      </c>
      <c r="F112">
        <v>1156</v>
      </c>
      <c r="G112" s="4">
        <v>2082287</v>
      </c>
      <c r="H112" s="5">
        <f t="shared" si="5"/>
        <v>1.0743316658728814</v>
      </c>
      <c r="I112" s="4">
        <v>19745145</v>
      </c>
      <c r="J112" s="4">
        <f t="shared" si="6"/>
        <v>636940.16129032255</v>
      </c>
      <c r="K112" s="6">
        <f t="shared" si="7"/>
        <v>0.65607762824944194</v>
      </c>
      <c r="L112">
        <v>308</v>
      </c>
      <c r="M112" s="6">
        <f t="shared" si="8"/>
        <v>0.26643598615916952</v>
      </c>
      <c r="N112" s="26"/>
      <c r="O112" s="11">
        <v>822004</v>
      </c>
      <c r="P112" s="8">
        <f t="shared" si="9"/>
        <v>26516.258064516129</v>
      </c>
      <c r="Q112" s="9">
        <f t="shared" si="10"/>
        <v>36.612650303404848</v>
      </c>
      <c r="R112" s="2"/>
    </row>
    <row r="113" spans="1:18" x14ac:dyDescent="0.25">
      <c r="A113" s="3">
        <v>36617</v>
      </c>
      <c r="B113">
        <v>30</v>
      </c>
      <c r="C113" s="4">
        <v>29704608</v>
      </c>
      <c r="D113" s="4">
        <f t="shared" si="4"/>
        <v>990153.6</v>
      </c>
      <c r="E113" s="10">
        <v>22.49</v>
      </c>
      <c r="F113">
        <v>1155</v>
      </c>
      <c r="G113" s="4">
        <v>2184768</v>
      </c>
      <c r="H113" s="5">
        <f t="shared" si="5"/>
        <v>1.0793888336560096</v>
      </c>
      <c r="I113" s="4">
        <v>19243276</v>
      </c>
      <c r="J113" s="4">
        <f t="shared" si="6"/>
        <v>641442.53333333333</v>
      </c>
      <c r="K113" s="6">
        <f t="shared" si="7"/>
        <v>0.6478212403947563</v>
      </c>
      <c r="L113">
        <v>308</v>
      </c>
      <c r="M113" s="6">
        <f t="shared" si="8"/>
        <v>0.26666666666666666</v>
      </c>
      <c r="N113" s="26"/>
      <c r="O113" s="11">
        <v>788089</v>
      </c>
      <c r="P113" s="8">
        <f t="shared" si="9"/>
        <v>26269.633333333335</v>
      </c>
      <c r="Q113" s="9">
        <f t="shared" si="10"/>
        <v>37.691945960418174</v>
      </c>
      <c r="R113" s="2"/>
    </row>
    <row r="114" spans="1:18" x14ac:dyDescent="0.25">
      <c r="A114" s="3">
        <v>36647</v>
      </c>
      <c r="B114">
        <v>31</v>
      </c>
      <c r="C114" s="4">
        <v>29910966</v>
      </c>
      <c r="D114" s="4">
        <f t="shared" si="4"/>
        <v>964869.87096774194</v>
      </c>
      <c r="E114" s="10">
        <v>25.81</v>
      </c>
      <c r="F114">
        <v>1152</v>
      </c>
      <c r="G114" s="4">
        <v>1748522</v>
      </c>
      <c r="H114" s="5">
        <f t="shared" si="5"/>
        <v>1.0620870120505166</v>
      </c>
      <c r="I114" s="4">
        <v>19685550</v>
      </c>
      <c r="J114" s="4">
        <f t="shared" si="6"/>
        <v>635017.74193548388</v>
      </c>
      <c r="K114" s="6">
        <f t="shared" si="7"/>
        <v>0.65813822261708299</v>
      </c>
      <c r="L114">
        <v>310</v>
      </c>
      <c r="M114" s="6">
        <f t="shared" si="8"/>
        <v>0.26909722222222221</v>
      </c>
      <c r="N114" s="26"/>
      <c r="O114" s="11">
        <v>768199</v>
      </c>
      <c r="P114" s="8">
        <f t="shared" si="9"/>
        <v>24780.612903225807</v>
      </c>
      <c r="Q114" s="9">
        <f t="shared" si="10"/>
        <v>38.936481302370872</v>
      </c>
      <c r="R114" s="2"/>
    </row>
    <row r="115" spans="1:18" x14ac:dyDescent="0.25">
      <c r="A115" s="3">
        <v>36678</v>
      </c>
      <c r="B115">
        <v>30</v>
      </c>
      <c r="C115" s="4">
        <v>29320626</v>
      </c>
      <c r="D115" s="4">
        <f t="shared" si="4"/>
        <v>977354.2</v>
      </c>
      <c r="E115" s="10">
        <v>28.324999999999999</v>
      </c>
      <c r="F115">
        <v>1154</v>
      </c>
      <c r="G115" s="4">
        <v>2366208</v>
      </c>
      <c r="H115" s="5">
        <f t="shared" si="5"/>
        <v>1.0877855348240129</v>
      </c>
      <c r="I115" s="4">
        <v>18702023</v>
      </c>
      <c r="J115" s="4">
        <f t="shared" si="6"/>
        <v>623400.76666666672</v>
      </c>
      <c r="K115" s="6">
        <f t="shared" si="7"/>
        <v>0.63784528338515012</v>
      </c>
      <c r="L115">
        <v>311</v>
      </c>
      <c r="M115" s="6">
        <f t="shared" si="8"/>
        <v>0.26949740034662045</v>
      </c>
      <c r="N115" s="26"/>
      <c r="O115" s="11">
        <v>736341</v>
      </c>
      <c r="P115" s="8">
        <f t="shared" si="9"/>
        <v>24544.7</v>
      </c>
      <c r="Q115" s="9">
        <f t="shared" si="10"/>
        <v>39.819358150639445</v>
      </c>
      <c r="R115" s="2"/>
    </row>
    <row r="116" spans="1:18" x14ac:dyDescent="0.25">
      <c r="A116" s="3">
        <v>36708</v>
      </c>
      <c r="B116">
        <v>31</v>
      </c>
      <c r="C116" s="4">
        <v>30518142</v>
      </c>
      <c r="D116" s="4">
        <f t="shared" si="4"/>
        <v>984456.19354838715</v>
      </c>
      <c r="E116" s="10">
        <v>26.9</v>
      </c>
      <c r="F116">
        <v>1154</v>
      </c>
      <c r="G116" s="4">
        <v>1292709</v>
      </c>
      <c r="H116" s="5">
        <f t="shared" si="5"/>
        <v>1.0442323301078209</v>
      </c>
      <c r="I116" s="4">
        <v>19351853</v>
      </c>
      <c r="J116" s="4">
        <f t="shared" si="6"/>
        <v>624253.32258064521</v>
      </c>
      <c r="K116" s="6">
        <f t="shared" si="7"/>
        <v>0.63410980262166683</v>
      </c>
      <c r="L116">
        <v>312</v>
      </c>
      <c r="M116" s="6">
        <f t="shared" si="8"/>
        <v>0.27036395147313691</v>
      </c>
      <c r="N116" s="26"/>
      <c r="O116" s="11">
        <v>732544</v>
      </c>
      <c r="P116" s="8">
        <f t="shared" si="9"/>
        <v>23630.451612903227</v>
      </c>
      <c r="Q116" s="9">
        <f t="shared" si="10"/>
        <v>41.660490018347019</v>
      </c>
      <c r="R116" s="2"/>
    </row>
    <row r="117" spans="1:18" x14ac:dyDescent="0.25">
      <c r="A117" s="3">
        <v>36739</v>
      </c>
      <c r="B117">
        <v>31</v>
      </c>
      <c r="C117" s="4">
        <v>30699976</v>
      </c>
      <c r="D117" s="4">
        <f t="shared" si="4"/>
        <v>990321.80645161285</v>
      </c>
      <c r="E117" s="10">
        <v>27.98</v>
      </c>
      <c r="F117">
        <v>1180</v>
      </c>
      <c r="G117" s="4">
        <v>1294102</v>
      </c>
      <c r="H117" s="5">
        <f t="shared" si="5"/>
        <v>1.0440082821547831</v>
      </c>
      <c r="I117" s="4">
        <v>19991135</v>
      </c>
      <c r="J117" s="4">
        <f t="shared" si="6"/>
        <v>644875.32258064521</v>
      </c>
      <c r="K117" s="6">
        <f t="shared" si="7"/>
        <v>0.65117754489449764</v>
      </c>
      <c r="L117">
        <v>324</v>
      </c>
      <c r="M117" s="6">
        <f t="shared" si="8"/>
        <v>0.27457627118644068</v>
      </c>
      <c r="N117" s="26"/>
      <c r="O117" s="11">
        <v>719376</v>
      </c>
      <c r="P117" s="8">
        <f t="shared" si="9"/>
        <v>23205.677419354837</v>
      </c>
      <c r="Q117" s="9">
        <f t="shared" si="10"/>
        <v>42.675841284668934</v>
      </c>
      <c r="R117" s="2"/>
    </row>
    <row r="118" spans="1:18" x14ac:dyDescent="0.25">
      <c r="A118" s="3">
        <v>36770</v>
      </c>
      <c r="B118">
        <v>30</v>
      </c>
      <c r="C118" s="4">
        <v>29445537</v>
      </c>
      <c r="D118" s="4">
        <f t="shared" si="4"/>
        <v>981517.9</v>
      </c>
      <c r="E118" s="10">
        <v>30.61</v>
      </c>
      <c r="F118">
        <v>1182</v>
      </c>
      <c r="G118" s="4">
        <v>1010491</v>
      </c>
      <c r="H118" s="5">
        <f t="shared" si="5"/>
        <v>1.0355368160825202</v>
      </c>
      <c r="I118" s="4">
        <v>19369658</v>
      </c>
      <c r="J118" s="4">
        <f t="shared" si="6"/>
        <v>645655.26666666672</v>
      </c>
      <c r="K118" s="6">
        <f t="shared" si="7"/>
        <v>0.65781303292244253</v>
      </c>
      <c r="L118">
        <v>328</v>
      </c>
      <c r="M118" s="6">
        <f t="shared" si="8"/>
        <v>0.27749576988155666</v>
      </c>
      <c r="N118" s="26"/>
      <c r="O118" s="11">
        <v>677780</v>
      </c>
      <c r="P118" s="8">
        <f t="shared" si="9"/>
        <v>22592.666666666668</v>
      </c>
      <c r="Q118" s="9">
        <f t="shared" si="10"/>
        <v>43.444092478385315</v>
      </c>
      <c r="R118" s="2"/>
    </row>
    <row r="119" spans="1:18" x14ac:dyDescent="0.25">
      <c r="A119" s="3">
        <v>36800</v>
      </c>
      <c r="B119">
        <v>31</v>
      </c>
      <c r="C119" s="4">
        <v>30648971</v>
      </c>
      <c r="D119" s="4">
        <f t="shared" si="4"/>
        <v>988676.48387096776</v>
      </c>
      <c r="E119" s="10">
        <v>29.71</v>
      </c>
      <c r="F119">
        <v>1175</v>
      </c>
      <c r="G119" s="4">
        <v>1093080</v>
      </c>
      <c r="H119" s="5">
        <f t="shared" si="5"/>
        <v>1.0369834900257278</v>
      </c>
      <c r="I119" s="4">
        <v>20212721</v>
      </c>
      <c r="J119" s="4">
        <f t="shared" si="6"/>
        <v>652023.25806451612</v>
      </c>
      <c r="K119" s="6">
        <f t="shared" si="7"/>
        <v>0.65949101521222364</v>
      </c>
      <c r="L119">
        <v>326</v>
      </c>
      <c r="M119" s="6">
        <f t="shared" si="8"/>
        <v>0.2774468085106383</v>
      </c>
      <c r="N119" s="26"/>
      <c r="O119" s="11">
        <v>689019</v>
      </c>
      <c r="P119" s="8">
        <f t="shared" si="9"/>
        <v>22226.419354838708</v>
      </c>
      <c r="Q119" s="9">
        <f t="shared" si="10"/>
        <v>44.482040408174527</v>
      </c>
      <c r="R119" s="2"/>
    </row>
    <row r="120" spans="1:18" x14ac:dyDescent="0.25">
      <c r="A120" s="3">
        <v>36831</v>
      </c>
      <c r="B120">
        <v>30</v>
      </c>
      <c r="C120" s="4">
        <v>29388187</v>
      </c>
      <c r="D120" s="4">
        <f t="shared" si="4"/>
        <v>979606.23333333328</v>
      </c>
      <c r="E120" s="10">
        <v>31.2</v>
      </c>
      <c r="F120">
        <v>1147</v>
      </c>
      <c r="G120" s="4">
        <v>1035865</v>
      </c>
      <c r="H120" s="5">
        <f t="shared" si="5"/>
        <v>1.0365354555439938</v>
      </c>
      <c r="I120" s="4">
        <v>19624809</v>
      </c>
      <c r="J120" s="4">
        <f t="shared" si="6"/>
        <v>654160.30000000005</v>
      </c>
      <c r="K120" s="6">
        <f t="shared" si="7"/>
        <v>0.66777882555327417</v>
      </c>
      <c r="L120">
        <v>328</v>
      </c>
      <c r="M120" s="6">
        <f t="shared" si="8"/>
        <v>0.28596338273757627</v>
      </c>
      <c r="N120" s="26"/>
      <c r="O120" s="11">
        <v>640805</v>
      </c>
      <c r="P120" s="8">
        <f t="shared" si="9"/>
        <v>21360.166666666668</v>
      </c>
      <c r="Q120" s="9">
        <f t="shared" si="10"/>
        <v>45.861357199147939</v>
      </c>
      <c r="R120" s="2"/>
    </row>
    <row r="121" spans="1:18" x14ac:dyDescent="0.25">
      <c r="A121" s="3">
        <v>36861</v>
      </c>
      <c r="B121">
        <v>31</v>
      </c>
      <c r="C121" s="4">
        <v>20944789</v>
      </c>
      <c r="D121" s="4">
        <f t="shared" si="4"/>
        <v>675638.3548387097</v>
      </c>
      <c r="E121" s="10">
        <v>25.14</v>
      </c>
      <c r="F121">
        <v>1143</v>
      </c>
      <c r="G121" s="4">
        <v>836966</v>
      </c>
      <c r="H121" s="5">
        <f t="shared" si="5"/>
        <v>1.0416238993152067</v>
      </c>
      <c r="I121" s="4">
        <v>14093116</v>
      </c>
      <c r="J121" s="4">
        <f t="shared" si="6"/>
        <v>454616.6451612903</v>
      </c>
      <c r="K121" s="6">
        <f t="shared" si="7"/>
        <v>0.67286980069362357</v>
      </c>
      <c r="L121">
        <v>330</v>
      </c>
      <c r="M121" s="6">
        <f t="shared" si="8"/>
        <v>0.28871391076115488</v>
      </c>
      <c r="N121" s="26"/>
      <c r="O121" s="11">
        <v>466933</v>
      </c>
      <c r="P121" s="8">
        <f t="shared" si="9"/>
        <v>15062.354838709678</v>
      </c>
      <c r="Q121" s="9">
        <f t="shared" si="10"/>
        <v>44.85609070252049</v>
      </c>
      <c r="R121" s="2"/>
    </row>
    <row r="122" spans="1:18" x14ac:dyDescent="0.25">
      <c r="A122" s="3">
        <v>36892</v>
      </c>
      <c r="B122">
        <v>31</v>
      </c>
      <c r="C122" s="4">
        <v>28487411</v>
      </c>
      <c r="D122" s="4">
        <f t="shared" si="4"/>
        <v>918948.74193548388</v>
      </c>
      <c r="E122" s="10">
        <v>26.15</v>
      </c>
      <c r="F122">
        <v>1155</v>
      </c>
      <c r="G122" s="4">
        <v>905880</v>
      </c>
      <c r="H122" s="5">
        <f t="shared" si="5"/>
        <v>1.0328437170510949</v>
      </c>
      <c r="I122" s="4">
        <v>19052890</v>
      </c>
      <c r="J122" s="4">
        <f t="shared" si="6"/>
        <v>614609.3548387097</v>
      </c>
      <c r="K122" s="6">
        <f t="shared" si="7"/>
        <v>0.66881788590756808</v>
      </c>
      <c r="L122">
        <v>331</v>
      </c>
      <c r="M122" s="6">
        <f t="shared" si="8"/>
        <v>0.2865800865800866</v>
      </c>
      <c r="N122" s="26"/>
      <c r="O122" s="11">
        <v>620985</v>
      </c>
      <c r="P122" s="8">
        <f t="shared" si="9"/>
        <v>20031.774193548386</v>
      </c>
      <c r="Q122" s="9">
        <f t="shared" si="10"/>
        <v>45.874555746113032</v>
      </c>
      <c r="R122" s="2"/>
    </row>
    <row r="123" spans="1:18" x14ac:dyDescent="0.25">
      <c r="A123" s="3">
        <v>36923</v>
      </c>
      <c r="B123">
        <v>28</v>
      </c>
      <c r="C123" s="4">
        <v>26803762</v>
      </c>
      <c r="D123" s="4">
        <f t="shared" si="4"/>
        <v>957277.21428571432</v>
      </c>
      <c r="E123" s="10">
        <v>26.46</v>
      </c>
      <c r="F123">
        <v>1157</v>
      </c>
      <c r="G123" s="4">
        <v>889718</v>
      </c>
      <c r="H123" s="5">
        <f t="shared" si="5"/>
        <v>1.0343334293945012</v>
      </c>
      <c r="I123" s="4">
        <v>18191882</v>
      </c>
      <c r="J123" s="4">
        <f t="shared" si="6"/>
        <v>649710.07142857148</v>
      </c>
      <c r="K123" s="6">
        <f t="shared" si="7"/>
        <v>0.67870629503425672</v>
      </c>
      <c r="L123">
        <v>331</v>
      </c>
      <c r="M123" s="6">
        <f t="shared" si="8"/>
        <v>0.28608470181503887</v>
      </c>
      <c r="N123" s="26"/>
      <c r="O123" s="11">
        <v>556448</v>
      </c>
      <c r="P123" s="8">
        <f t="shared" si="9"/>
        <v>19873.142857142859</v>
      </c>
      <c r="Q123" s="9">
        <f t="shared" si="10"/>
        <v>48.169392288228188</v>
      </c>
      <c r="R123" s="2"/>
    </row>
    <row r="124" spans="1:18" x14ac:dyDescent="0.25">
      <c r="A124" s="3">
        <v>36951</v>
      </c>
      <c r="B124">
        <v>31</v>
      </c>
      <c r="C124" s="4">
        <v>29500940</v>
      </c>
      <c r="D124" s="4">
        <f t="shared" si="4"/>
        <v>951643.22580645164</v>
      </c>
      <c r="E124" s="10">
        <v>23.97</v>
      </c>
      <c r="F124">
        <v>1145</v>
      </c>
      <c r="G124" s="4">
        <v>1427217</v>
      </c>
      <c r="H124" s="5">
        <f t="shared" si="5"/>
        <v>1.0508381806004141</v>
      </c>
      <c r="I124" s="4">
        <v>19737578</v>
      </c>
      <c r="J124" s="4">
        <f t="shared" si="6"/>
        <v>636696.06451612909</v>
      </c>
      <c r="K124" s="6">
        <f t="shared" si="7"/>
        <v>0.66904912182459275</v>
      </c>
      <c r="L124">
        <v>335</v>
      </c>
      <c r="M124" s="6">
        <f t="shared" si="8"/>
        <v>0.29257641921397382</v>
      </c>
      <c r="N124" s="26"/>
      <c r="O124" s="11">
        <v>600042</v>
      </c>
      <c r="P124" s="8">
        <f t="shared" si="9"/>
        <v>19356.193548387098</v>
      </c>
      <c r="Q124" s="9">
        <f t="shared" si="10"/>
        <v>49.164791797907476</v>
      </c>
      <c r="R124" s="2"/>
    </row>
    <row r="125" spans="1:18" x14ac:dyDescent="0.25">
      <c r="A125" s="3">
        <v>36982</v>
      </c>
      <c r="B125">
        <v>30</v>
      </c>
      <c r="C125" s="4">
        <v>29159755</v>
      </c>
      <c r="D125" s="4">
        <f t="shared" si="4"/>
        <v>971991.83333333337</v>
      </c>
      <c r="E125" s="10">
        <v>24.18</v>
      </c>
      <c r="F125">
        <v>1145</v>
      </c>
      <c r="G125" s="4">
        <v>1274051</v>
      </c>
      <c r="H125" s="5">
        <f t="shared" si="5"/>
        <v>1.0456883211555283</v>
      </c>
      <c r="I125" s="4">
        <v>19632500</v>
      </c>
      <c r="J125" s="4">
        <f t="shared" si="6"/>
        <v>654416.66666666663</v>
      </c>
      <c r="K125" s="6">
        <f t="shared" si="7"/>
        <v>0.67327383237616367</v>
      </c>
      <c r="L125">
        <v>332</v>
      </c>
      <c r="M125" s="6">
        <f t="shared" si="8"/>
        <v>0.28995633187772923</v>
      </c>
      <c r="N125" s="26"/>
      <c r="O125" s="11">
        <v>588432</v>
      </c>
      <c r="P125" s="8">
        <f t="shared" si="9"/>
        <v>19614.400000000001</v>
      </c>
      <c r="Q125" s="9">
        <f t="shared" si="10"/>
        <v>49.555012303885576</v>
      </c>
      <c r="R125" s="2"/>
    </row>
    <row r="126" spans="1:18" x14ac:dyDescent="0.25">
      <c r="A126" s="3">
        <v>37012</v>
      </c>
      <c r="B126">
        <v>31</v>
      </c>
      <c r="C126" s="4">
        <v>30275594</v>
      </c>
      <c r="D126" s="4">
        <f t="shared" si="4"/>
        <v>976632.06451612909</v>
      </c>
      <c r="E126" s="10">
        <v>25.27</v>
      </c>
      <c r="F126">
        <v>1132</v>
      </c>
      <c r="G126" s="4">
        <v>2255378</v>
      </c>
      <c r="H126" s="5">
        <f>+(C126)/(C126-G126)</f>
        <v>1.0804910997117225</v>
      </c>
      <c r="I126" s="4">
        <v>19477132</v>
      </c>
      <c r="J126" s="4">
        <f t="shared" si="6"/>
        <v>628294.58064516133</v>
      </c>
      <c r="K126" s="6">
        <f t="shared" si="7"/>
        <v>0.6433278237249449</v>
      </c>
      <c r="L126">
        <v>335</v>
      </c>
      <c r="M126" s="6">
        <f t="shared" si="8"/>
        <v>0.29593639575971731</v>
      </c>
      <c r="N126" s="26"/>
      <c r="O126" s="11">
        <v>581784</v>
      </c>
      <c r="P126" s="8">
        <f t="shared" si="9"/>
        <v>18767.225806451614</v>
      </c>
      <c r="Q126" s="9">
        <f t="shared" si="10"/>
        <v>52.03923449252644</v>
      </c>
      <c r="R126" s="2"/>
    </row>
    <row r="127" spans="1:18" x14ac:dyDescent="0.25">
      <c r="A127" s="3">
        <v>37043</v>
      </c>
      <c r="B127">
        <v>30</v>
      </c>
      <c r="C127" s="4">
        <v>29214266</v>
      </c>
      <c r="D127" s="4">
        <f t="shared" si="4"/>
        <v>973808.8666666667</v>
      </c>
      <c r="E127" s="10">
        <v>24.13</v>
      </c>
      <c r="F127">
        <v>1135</v>
      </c>
      <c r="G127" s="4">
        <v>1707840</v>
      </c>
      <c r="H127" s="5">
        <f>+(C127)/(C127-G127)</f>
        <v>1.0620887642763912</v>
      </c>
      <c r="I127" s="4">
        <v>19120791</v>
      </c>
      <c r="J127" s="4">
        <f t="shared" si="6"/>
        <v>637359.69999999995</v>
      </c>
      <c r="K127" s="6">
        <f t="shared" si="7"/>
        <v>0.65450184509170961</v>
      </c>
      <c r="L127">
        <v>334</v>
      </c>
      <c r="M127" s="6">
        <f t="shared" si="8"/>
        <v>0.29427312775330394</v>
      </c>
      <c r="N127" s="26"/>
      <c r="O127" s="11">
        <v>556343</v>
      </c>
      <c r="P127" s="8">
        <f t="shared" si="9"/>
        <v>18544.766666666666</v>
      </c>
      <c r="Q127" s="9">
        <f t="shared" si="10"/>
        <v>52.51124935516399</v>
      </c>
      <c r="R127" s="2"/>
    </row>
    <row r="128" spans="1:18" x14ac:dyDescent="0.25">
      <c r="A128" s="3">
        <v>37073</v>
      </c>
      <c r="B128">
        <v>31</v>
      </c>
      <c r="C128" s="4">
        <v>30622096</v>
      </c>
      <c r="D128" s="4">
        <f t="shared" si="4"/>
        <v>987809.54838709673</v>
      </c>
      <c r="E128" s="10">
        <v>23.06</v>
      </c>
      <c r="F128">
        <v>1137</v>
      </c>
      <c r="G128" s="4">
        <v>1898243</v>
      </c>
      <c r="H128" s="5">
        <f t="shared" si="5"/>
        <v>1.0660859460602308</v>
      </c>
      <c r="I128" s="4">
        <v>19991406</v>
      </c>
      <c r="J128" s="4">
        <f t="shared" si="6"/>
        <v>644884.06451612909</v>
      </c>
      <c r="K128" s="6">
        <f t="shared" si="7"/>
        <v>0.65284250953951684</v>
      </c>
      <c r="L128">
        <v>334</v>
      </c>
      <c r="M128" s="6">
        <f t="shared" si="8"/>
        <v>0.29375549692172381</v>
      </c>
      <c r="N128" s="26"/>
      <c r="O128" s="11">
        <v>568755</v>
      </c>
      <c r="P128" s="8">
        <f t="shared" si="9"/>
        <v>18346.935483870966</v>
      </c>
      <c r="Q128" s="9">
        <f t="shared" si="10"/>
        <v>53.840574588355267</v>
      </c>
      <c r="R128" s="2"/>
    </row>
    <row r="129" spans="1:18" x14ac:dyDescent="0.25">
      <c r="A129" s="3">
        <v>37104</v>
      </c>
      <c r="B129">
        <v>31</v>
      </c>
      <c r="C129" s="4">
        <v>30831611</v>
      </c>
      <c r="D129" s="4">
        <f t="shared" si="4"/>
        <v>994568.09677419357</v>
      </c>
      <c r="E129" s="10">
        <v>23.83</v>
      </c>
      <c r="F129">
        <v>1146</v>
      </c>
      <c r="G129" s="4">
        <v>2855669</v>
      </c>
      <c r="H129" s="5">
        <f t="shared" si="5"/>
        <v>1.1020758836288693</v>
      </c>
      <c r="I129" s="4">
        <v>19253594</v>
      </c>
      <c r="J129" s="4">
        <f t="shared" si="6"/>
        <v>621083.67741935479</v>
      </c>
      <c r="K129" s="6">
        <f t="shared" si="7"/>
        <v>0.62447576936540872</v>
      </c>
      <c r="L129">
        <v>336</v>
      </c>
      <c r="M129" s="6">
        <f t="shared" si="8"/>
        <v>0.29319371727748689</v>
      </c>
      <c r="N129" s="26"/>
      <c r="O129" s="11">
        <v>559591</v>
      </c>
      <c r="P129" s="8">
        <f t="shared" si="9"/>
        <v>18051.322580645163</v>
      </c>
      <c r="Q129" s="9">
        <f t="shared" si="10"/>
        <v>55.09668847426066</v>
      </c>
      <c r="R129" s="2"/>
    </row>
    <row r="130" spans="1:18" x14ac:dyDescent="0.25">
      <c r="A130" s="3">
        <v>37135</v>
      </c>
      <c r="B130">
        <v>30</v>
      </c>
      <c r="C130" s="4">
        <v>29443663</v>
      </c>
      <c r="D130" s="4">
        <f t="shared" si="4"/>
        <v>981455.43333333335</v>
      </c>
      <c r="E130" s="10">
        <v>22.8</v>
      </c>
      <c r="F130">
        <v>1144</v>
      </c>
      <c r="G130" s="4">
        <v>2534684</v>
      </c>
      <c r="H130" s="5">
        <f t="shared" si="5"/>
        <v>1.0941947295733516</v>
      </c>
      <c r="I130" s="4">
        <v>19106715</v>
      </c>
      <c r="J130" s="4">
        <f t="shared" si="6"/>
        <v>636890.5</v>
      </c>
      <c r="K130" s="6">
        <f t="shared" si="7"/>
        <v>0.64892452409878487</v>
      </c>
      <c r="L130">
        <v>339</v>
      </c>
      <c r="M130" s="6">
        <f t="shared" si="8"/>
        <v>0.29632867132867136</v>
      </c>
      <c r="N130" s="26"/>
      <c r="O130" s="11">
        <v>531769</v>
      </c>
      <c r="P130" s="8">
        <f t="shared" si="9"/>
        <v>17725.633333333335</v>
      </c>
      <c r="Q130" s="9">
        <f t="shared" si="10"/>
        <v>55.369273124232507</v>
      </c>
      <c r="R130" s="2"/>
    </row>
    <row r="131" spans="1:18" x14ac:dyDescent="0.25">
      <c r="A131" s="3">
        <v>37165</v>
      </c>
      <c r="B131">
        <v>31</v>
      </c>
      <c r="C131" s="4">
        <v>31069277</v>
      </c>
      <c r="D131" s="4">
        <f t="shared" si="4"/>
        <v>1002234.7419354839</v>
      </c>
      <c r="E131" s="10">
        <v>18.73</v>
      </c>
      <c r="F131">
        <v>1145</v>
      </c>
      <c r="G131" s="4">
        <v>3134130</v>
      </c>
      <c r="H131" s="5">
        <f t="shared" si="5"/>
        <v>1.1121930734783676</v>
      </c>
      <c r="I131" s="4">
        <v>19692116</v>
      </c>
      <c r="J131" s="4">
        <f t="shared" si="6"/>
        <v>635229.54838709673</v>
      </c>
      <c r="K131" s="6">
        <f t="shared" si="7"/>
        <v>0.6338131395848059</v>
      </c>
      <c r="L131">
        <v>342</v>
      </c>
      <c r="M131" s="6">
        <f t="shared" si="8"/>
        <v>0.29868995633187773</v>
      </c>
      <c r="N131" s="26"/>
      <c r="O131" s="11">
        <v>544229</v>
      </c>
      <c r="P131" s="8">
        <f t="shared" si="9"/>
        <v>17555.774193548386</v>
      </c>
      <c r="Q131" s="9">
        <f t="shared" si="10"/>
        <v>57.08860975802466</v>
      </c>
      <c r="R131" s="2"/>
    </row>
    <row r="132" spans="1:18" x14ac:dyDescent="0.25">
      <c r="A132" s="3">
        <v>37196</v>
      </c>
      <c r="B132">
        <v>30</v>
      </c>
      <c r="C132" s="4">
        <v>29837700</v>
      </c>
      <c r="D132" s="4">
        <f t="shared" si="4"/>
        <v>994590</v>
      </c>
      <c r="E132" s="10">
        <v>16.2</v>
      </c>
      <c r="F132">
        <v>1146</v>
      </c>
      <c r="G132" s="4">
        <v>2967561</v>
      </c>
      <c r="H132" s="5">
        <f t="shared" si="5"/>
        <v>1.1104408503432006</v>
      </c>
      <c r="I132" s="4">
        <v>18801266</v>
      </c>
      <c r="J132" s="4">
        <f t="shared" si="6"/>
        <v>626708.8666666667</v>
      </c>
      <c r="K132" s="6">
        <f t="shared" si="7"/>
        <v>0.63011780398623218</v>
      </c>
      <c r="L132">
        <v>346</v>
      </c>
      <c r="M132" s="6">
        <f t="shared" si="8"/>
        <v>0.30191972076788831</v>
      </c>
      <c r="N132" s="26"/>
      <c r="O132" s="11">
        <v>514441</v>
      </c>
      <c r="P132" s="8">
        <f t="shared" si="9"/>
        <v>17148.033333333333</v>
      </c>
      <c r="Q132" s="9">
        <f t="shared" si="10"/>
        <v>58.000237150615909</v>
      </c>
      <c r="R132" s="2"/>
    </row>
    <row r="133" spans="1:18" x14ac:dyDescent="0.25">
      <c r="A133" s="3">
        <v>37226</v>
      </c>
      <c r="B133">
        <v>31</v>
      </c>
      <c r="C133" s="4">
        <v>30745237</v>
      </c>
      <c r="D133" s="4">
        <f t="shared" si="4"/>
        <v>991781.83870967745</v>
      </c>
      <c r="E133" s="10">
        <v>15.95</v>
      </c>
      <c r="F133">
        <v>1147</v>
      </c>
      <c r="G133" s="4">
        <v>3392450</v>
      </c>
      <c r="H133" s="5">
        <f t="shared" si="5"/>
        <v>1.1240257528419315</v>
      </c>
      <c r="I133" s="4">
        <v>19429685</v>
      </c>
      <c r="J133" s="4">
        <f t="shared" si="6"/>
        <v>626764.03225806449</v>
      </c>
      <c r="K133" s="6">
        <f t="shared" si="7"/>
        <v>0.6319575614265065</v>
      </c>
      <c r="L133">
        <v>350</v>
      </c>
      <c r="M133" s="6">
        <f t="shared" si="8"/>
        <v>0.3051438535309503</v>
      </c>
      <c r="N133" s="26"/>
      <c r="O133" s="11">
        <v>523538</v>
      </c>
      <c r="P133" s="8">
        <f t="shared" si="9"/>
        <v>16888.322580645163</v>
      </c>
      <c r="Q133" s="9">
        <f t="shared" si="10"/>
        <v>58.725893822415941</v>
      </c>
      <c r="R133" s="2"/>
    </row>
    <row r="134" spans="1:18" x14ac:dyDescent="0.25">
      <c r="A134" s="3">
        <v>37257</v>
      </c>
      <c r="B134">
        <v>31</v>
      </c>
      <c r="C134" s="4">
        <v>30286964</v>
      </c>
      <c r="D134" s="4">
        <f t="shared" si="4"/>
        <v>976998.83870967745</v>
      </c>
      <c r="E134" s="10">
        <v>16.21</v>
      </c>
      <c r="F134">
        <v>1173</v>
      </c>
      <c r="G134" s="4">
        <v>2493559</v>
      </c>
      <c r="H134" s="5">
        <f t="shared" si="5"/>
        <v>1.0897176506441006</v>
      </c>
      <c r="I134" s="4">
        <v>19946075</v>
      </c>
      <c r="J134" s="4">
        <f t="shared" si="6"/>
        <v>643421.77419354836</v>
      </c>
      <c r="K134" s="6">
        <f t="shared" si="7"/>
        <v>0.65856964072067437</v>
      </c>
      <c r="L134">
        <v>354</v>
      </c>
      <c r="M134" s="6">
        <f t="shared" si="8"/>
        <v>0.30179028132992325</v>
      </c>
      <c r="N134" s="26"/>
      <c r="O134" s="11">
        <v>518425</v>
      </c>
      <c r="P134" s="8">
        <f t="shared" si="9"/>
        <v>16723.387096774193</v>
      </c>
      <c r="Q134" s="9">
        <f t="shared" si="10"/>
        <v>58.421110093070361</v>
      </c>
      <c r="R134" s="2"/>
    </row>
    <row r="135" spans="1:18" x14ac:dyDescent="0.25">
      <c r="A135" s="3">
        <v>37288</v>
      </c>
      <c r="B135">
        <v>28</v>
      </c>
      <c r="C135" s="4">
        <v>27488921</v>
      </c>
      <c r="D135" s="4">
        <f t="shared" si="4"/>
        <v>981747.17857142852</v>
      </c>
      <c r="E135" s="10">
        <v>17.29</v>
      </c>
      <c r="F135">
        <v>1176</v>
      </c>
      <c r="G135" s="4">
        <v>2133871</v>
      </c>
      <c r="H135" s="5">
        <f t="shared" si="5"/>
        <v>1.0841596052857321</v>
      </c>
      <c r="I135" s="4">
        <v>18529760</v>
      </c>
      <c r="J135" s="4">
        <f t="shared" si="6"/>
        <v>661777.14285714284</v>
      </c>
      <c r="K135" s="6">
        <f t="shared" si="7"/>
        <v>0.67408102340575682</v>
      </c>
      <c r="L135">
        <v>362</v>
      </c>
      <c r="M135" s="6">
        <f t="shared" si="8"/>
        <v>0.30782312925170069</v>
      </c>
      <c r="N135" s="26"/>
      <c r="O135" s="11">
        <v>465134</v>
      </c>
      <c r="P135" s="8">
        <f t="shared" si="9"/>
        <v>16611.928571428572</v>
      </c>
      <c r="Q135" s="9">
        <f t="shared" si="10"/>
        <v>59.098928480824874</v>
      </c>
      <c r="R135" s="2"/>
    </row>
    <row r="136" spans="1:18" x14ac:dyDescent="0.25">
      <c r="A136" s="3">
        <v>37316</v>
      </c>
      <c r="B136">
        <v>31</v>
      </c>
      <c r="C136" s="4">
        <v>30557587</v>
      </c>
      <c r="D136" s="4">
        <f t="shared" si="4"/>
        <v>985728.61290322582</v>
      </c>
      <c r="E136" s="10">
        <v>20.98</v>
      </c>
      <c r="F136">
        <v>1176</v>
      </c>
      <c r="G136" s="4">
        <v>3008717</v>
      </c>
      <c r="H136" s="5">
        <f t="shared" si="5"/>
        <v>1.1092138080436693</v>
      </c>
      <c r="I136" s="4">
        <v>20295404</v>
      </c>
      <c r="J136" s="4">
        <f t="shared" si="6"/>
        <v>654690.45161290327</v>
      </c>
      <c r="K136" s="6">
        <f t="shared" si="7"/>
        <v>0.66416906544355092</v>
      </c>
      <c r="L136">
        <v>363</v>
      </c>
      <c r="M136" s="6">
        <f t="shared" si="8"/>
        <v>0.30867346938775508</v>
      </c>
      <c r="N136" s="26"/>
      <c r="O136" s="11">
        <v>500914</v>
      </c>
      <c r="P136" s="8">
        <f t="shared" si="9"/>
        <v>16158.516129032258</v>
      </c>
      <c r="Q136" s="9">
        <f t="shared" si="10"/>
        <v>61.003659310779895</v>
      </c>
      <c r="R136" s="2"/>
    </row>
    <row r="137" spans="1:18" x14ac:dyDescent="0.25">
      <c r="A137" s="3">
        <v>37347</v>
      </c>
      <c r="B137">
        <v>30</v>
      </c>
      <c r="C137" s="4">
        <v>29334547</v>
      </c>
      <c r="D137" s="4">
        <f t="shared" si="4"/>
        <v>977818.23333333328</v>
      </c>
      <c r="E137" s="10">
        <v>22.61</v>
      </c>
      <c r="F137">
        <v>1179</v>
      </c>
      <c r="G137" s="4">
        <v>3022635</v>
      </c>
      <c r="H137" s="5">
        <f t="shared" si="5"/>
        <v>1.1148770564450048</v>
      </c>
      <c r="I137" s="4">
        <v>19173795</v>
      </c>
      <c r="J137" s="4">
        <f t="shared" si="6"/>
        <v>639126.5</v>
      </c>
      <c r="K137" s="6">
        <f t="shared" si="7"/>
        <v>0.65362505853593034</v>
      </c>
      <c r="L137">
        <v>363</v>
      </c>
      <c r="M137" s="6">
        <f t="shared" si="8"/>
        <v>0.30788804071246817</v>
      </c>
      <c r="N137" s="26"/>
      <c r="O137" s="11">
        <v>479699</v>
      </c>
      <c r="P137" s="8">
        <f t="shared" si="9"/>
        <v>15989.966666666667</v>
      </c>
      <c r="Q137" s="9">
        <f t="shared" si="10"/>
        <v>61.15198697516567</v>
      </c>
      <c r="R137" s="2"/>
    </row>
    <row r="138" spans="1:18" x14ac:dyDescent="0.25">
      <c r="A138" s="3">
        <v>37377</v>
      </c>
      <c r="B138">
        <v>31</v>
      </c>
      <c r="C138" s="4">
        <v>30228834</v>
      </c>
      <c r="D138" s="4">
        <f t="shared" si="4"/>
        <v>975123.67741935479</v>
      </c>
      <c r="E138" s="10">
        <v>23.45</v>
      </c>
      <c r="F138">
        <v>1178</v>
      </c>
      <c r="G138" s="4">
        <v>2736302</v>
      </c>
      <c r="H138" s="5">
        <f t="shared" si="5"/>
        <v>1.0995289193443514</v>
      </c>
      <c r="I138" s="4">
        <v>19946623</v>
      </c>
      <c r="J138" s="4">
        <f t="shared" si="6"/>
        <v>643439.45161290327</v>
      </c>
      <c r="K138" s="6">
        <f t="shared" si="7"/>
        <v>0.65985419748575147</v>
      </c>
      <c r="L138">
        <v>364</v>
      </c>
      <c r="M138" s="6">
        <f t="shared" si="8"/>
        <v>0.3089983022071307</v>
      </c>
      <c r="N138" s="26"/>
      <c r="O138" s="11">
        <v>494272</v>
      </c>
      <c r="P138" s="8">
        <f t="shared" si="9"/>
        <v>15944.258064516129</v>
      </c>
      <c r="Q138" s="9">
        <f t="shared" si="10"/>
        <v>61.158297455651947</v>
      </c>
      <c r="R138" s="2"/>
    </row>
    <row r="139" spans="1:18" x14ac:dyDescent="0.25">
      <c r="A139" s="3">
        <v>37408</v>
      </c>
      <c r="B139">
        <v>30</v>
      </c>
      <c r="C139" s="4">
        <v>29075900</v>
      </c>
      <c r="D139" s="4">
        <f t="shared" si="4"/>
        <v>969196.66666666663</v>
      </c>
      <c r="E139" s="10">
        <v>22.074999999999999</v>
      </c>
      <c r="F139">
        <v>1177</v>
      </c>
      <c r="G139" s="4">
        <v>2968403</v>
      </c>
      <c r="H139" s="5">
        <f t="shared" si="5"/>
        <v>1.1136992565775263</v>
      </c>
      <c r="I139" s="4">
        <v>18853199</v>
      </c>
      <c r="J139" s="4">
        <f t="shared" si="6"/>
        <v>628439.96666666667</v>
      </c>
      <c r="K139" s="6">
        <f t="shared" si="7"/>
        <v>0.64841325633944258</v>
      </c>
      <c r="L139">
        <v>365</v>
      </c>
      <c r="M139" s="6">
        <f t="shared" si="8"/>
        <v>0.31011045029736617</v>
      </c>
      <c r="N139" s="26"/>
      <c r="O139" s="11">
        <v>468306</v>
      </c>
      <c r="P139" s="8">
        <f t="shared" si="9"/>
        <v>15610.2</v>
      </c>
      <c r="Q139" s="9">
        <f t="shared" si="10"/>
        <v>62.087395848013898</v>
      </c>
      <c r="R139" s="2"/>
    </row>
    <row r="140" spans="1:18" x14ac:dyDescent="0.25">
      <c r="A140" s="3">
        <v>37438</v>
      </c>
      <c r="B140">
        <v>31</v>
      </c>
      <c r="C140" s="4">
        <v>30069360</v>
      </c>
      <c r="D140" s="4">
        <f t="shared" si="4"/>
        <v>969979.3548387097</v>
      </c>
      <c r="E140" s="10">
        <v>23.44</v>
      </c>
      <c r="F140">
        <v>1175</v>
      </c>
      <c r="G140" s="4">
        <v>2968403</v>
      </c>
      <c r="H140" s="5">
        <f t="shared" si="5"/>
        <v>1.1095312981013918</v>
      </c>
      <c r="I140" s="4">
        <v>18853199</v>
      </c>
      <c r="J140" s="4">
        <f t="shared" si="6"/>
        <v>608167.70967741939</v>
      </c>
      <c r="K140" s="6">
        <f t="shared" si="7"/>
        <v>0.6269903649429186</v>
      </c>
      <c r="L140">
        <v>365</v>
      </c>
      <c r="M140" s="6">
        <f t="shared" si="8"/>
        <v>0.31063829787234043</v>
      </c>
      <c r="N140" s="26"/>
      <c r="O140" s="11">
        <v>479800</v>
      </c>
      <c r="P140" s="8">
        <f t="shared" si="9"/>
        <v>15477.41935483871</v>
      </c>
      <c r="Q140" s="9">
        <f t="shared" si="10"/>
        <v>62.670612755314714</v>
      </c>
      <c r="R140" s="2"/>
    </row>
    <row r="141" spans="1:18" x14ac:dyDescent="0.25">
      <c r="A141" s="3">
        <v>37469</v>
      </c>
      <c r="B141">
        <v>31</v>
      </c>
      <c r="C141" s="4">
        <v>29897004</v>
      </c>
      <c r="D141" s="4">
        <f t="shared" si="4"/>
        <v>964419.48387096776</v>
      </c>
      <c r="E141" s="10">
        <v>24.6</v>
      </c>
      <c r="F141">
        <v>1182</v>
      </c>
      <c r="G141" s="4">
        <v>2620084</v>
      </c>
      <c r="H141" s="5">
        <f t="shared" si="5"/>
        <v>1.0960549798144366</v>
      </c>
      <c r="I141" s="4">
        <v>19419593</v>
      </c>
      <c r="J141" s="4">
        <f t="shared" si="6"/>
        <v>626438.48387096776</v>
      </c>
      <c r="K141" s="6">
        <f t="shared" si="7"/>
        <v>0.6495498010436096</v>
      </c>
      <c r="L141">
        <v>370</v>
      </c>
      <c r="M141" s="6">
        <f t="shared" si="8"/>
        <v>0.31302876480541453</v>
      </c>
      <c r="N141" s="26"/>
      <c r="O141" s="11">
        <v>471012</v>
      </c>
      <c r="P141" s="8">
        <f t="shared" si="9"/>
        <v>15193.935483870968</v>
      </c>
      <c r="Q141" s="9">
        <f t="shared" si="10"/>
        <v>63.473975185345594</v>
      </c>
      <c r="R141" s="2"/>
    </row>
    <row r="142" spans="1:18" x14ac:dyDescent="0.25">
      <c r="A142" s="3">
        <v>37500</v>
      </c>
      <c r="B142">
        <v>30</v>
      </c>
      <c r="C142" s="4">
        <v>29272256</v>
      </c>
      <c r="D142" s="4">
        <f t="shared" si="4"/>
        <v>975741.8666666667</v>
      </c>
      <c r="E142" s="10">
        <v>26.16</v>
      </c>
      <c r="F142">
        <v>1184</v>
      </c>
      <c r="G142" s="4">
        <v>3022989</v>
      </c>
      <c r="H142" s="5">
        <f t="shared" si="5"/>
        <v>1.1151647015514756</v>
      </c>
      <c r="I142" s="4">
        <v>18669081</v>
      </c>
      <c r="J142" s="4">
        <f t="shared" si="6"/>
        <v>622302.69999999995</v>
      </c>
      <c r="K142" s="6">
        <f t="shared" si="7"/>
        <v>0.63777390440969084</v>
      </c>
      <c r="L142">
        <v>370</v>
      </c>
      <c r="M142" s="6">
        <f t="shared" si="8"/>
        <v>0.3125</v>
      </c>
      <c r="N142" s="26"/>
      <c r="O142" s="11">
        <v>459296</v>
      </c>
      <c r="P142" s="8">
        <f t="shared" si="9"/>
        <v>15309.866666666667</v>
      </c>
      <c r="Q142" s="9">
        <f t="shared" si="10"/>
        <v>63.732878143942031</v>
      </c>
      <c r="R142" s="2"/>
    </row>
    <row r="143" spans="1:18" x14ac:dyDescent="0.25">
      <c r="A143" s="3">
        <v>37530</v>
      </c>
      <c r="B143">
        <v>31</v>
      </c>
      <c r="C143" s="4">
        <v>30219704</v>
      </c>
      <c r="D143" s="4">
        <f t="shared" si="4"/>
        <v>974829.16129032255</v>
      </c>
      <c r="E143" s="10">
        <v>25.36</v>
      </c>
      <c r="F143">
        <v>1182</v>
      </c>
      <c r="G143" s="4">
        <v>3065366</v>
      </c>
      <c r="H143" s="5">
        <f t="shared" si="5"/>
        <v>1.1128867881072999</v>
      </c>
      <c r="I143" s="4">
        <v>19382153</v>
      </c>
      <c r="J143" s="4">
        <f t="shared" si="6"/>
        <v>625230.74193548388</v>
      </c>
      <c r="K143" s="6">
        <f t="shared" si="7"/>
        <v>0.6413746805726489</v>
      </c>
      <c r="L143">
        <v>369</v>
      </c>
      <c r="M143" s="6">
        <f t="shared" si="8"/>
        <v>0.31218274111675126</v>
      </c>
      <c r="N143" s="26"/>
      <c r="O143" s="11">
        <v>474661</v>
      </c>
      <c r="P143" s="8">
        <f t="shared" si="9"/>
        <v>15311.645161290322</v>
      </c>
      <c r="Q143" s="9">
        <f t="shared" si="10"/>
        <v>63.665866797567105</v>
      </c>
      <c r="R143" s="2"/>
    </row>
    <row r="144" spans="1:18" x14ac:dyDescent="0.25">
      <c r="A144" s="3">
        <v>37561</v>
      </c>
      <c r="B144">
        <v>30</v>
      </c>
      <c r="C144" s="4">
        <v>29117103</v>
      </c>
      <c r="D144" s="4">
        <f t="shared" si="4"/>
        <v>970570.1</v>
      </c>
      <c r="E144" s="10">
        <v>22.76</v>
      </c>
      <c r="F144">
        <v>1182</v>
      </c>
      <c r="G144" s="4">
        <v>2819489</v>
      </c>
      <c r="H144" s="5">
        <f t="shared" si="5"/>
        <v>1.1072146317152576</v>
      </c>
      <c r="I144" s="4">
        <v>18934435</v>
      </c>
      <c r="J144" s="4">
        <f t="shared" si="6"/>
        <v>631147.83333333337</v>
      </c>
      <c r="K144" s="6">
        <f t="shared" si="7"/>
        <v>0.65028567574184837</v>
      </c>
      <c r="L144">
        <v>371</v>
      </c>
      <c r="M144" s="6">
        <f t="shared" si="8"/>
        <v>0.31387478849407785</v>
      </c>
      <c r="N144" s="26"/>
      <c r="O144" s="11">
        <v>454182</v>
      </c>
      <c r="P144" s="8">
        <f t="shared" si="9"/>
        <v>15139.4</v>
      </c>
      <c r="Q144" s="9">
        <f t="shared" si="10"/>
        <v>64.108888066898288</v>
      </c>
      <c r="R144" s="2"/>
    </row>
    <row r="145" spans="1:18" x14ac:dyDescent="0.25">
      <c r="A145" s="3">
        <v>37591</v>
      </c>
      <c r="B145">
        <v>31</v>
      </c>
      <c r="C145" s="4">
        <v>29806595</v>
      </c>
      <c r="D145" s="4">
        <f t="shared" si="4"/>
        <v>961503.06451612909</v>
      </c>
      <c r="E145" s="10">
        <v>25.93</v>
      </c>
      <c r="F145">
        <v>1183</v>
      </c>
      <c r="G145" s="4">
        <v>3005240</v>
      </c>
      <c r="H145" s="5">
        <f t="shared" si="5"/>
        <v>1.1121301516285278</v>
      </c>
      <c r="I145" s="4">
        <v>19206424</v>
      </c>
      <c r="J145" s="4">
        <f t="shared" si="6"/>
        <v>619562.06451612909</v>
      </c>
      <c r="K145" s="6">
        <f t="shared" si="7"/>
        <v>0.64436826816347192</v>
      </c>
      <c r="L145">
        <v>372</v>
      </c>
      <c r="M145" s="6">
        <f t="shared" si="8"/>
        <v>0.31445477599323751</v>
      </c>
      <c r="N145" s="26"/>
      <c r="O145" s="11">
        <v>459291</v>
      </c>
      <c r="P145" s="8">
        <f t="shared" si="9"/>
        <v>14815.838709677419</v>
      </c>
      <c r="Q145" s="9">
        <f t="shared" si="10"/>
        <v>64.896971636718334</v>
      </c>
      <c r="R145" s="2"/>
    </row>
    <row r="146" spans="1:18" x14ac:dyDescent="0.25">
      <c r="A146" s="3">
        <v>37622</v>
      </c>
      <c r="B146">
        <v>31</v>
      </c>
      <c r="C146" s="4">
        <v>29666450</v>
      </c>
      <c r="D146" s="4">
        <f t="shared" si="4"/>
        <v>956982.25806451612</v>
      </c>
      <c r="E146" s="10">
        <v>29.25</v>
      </c>
      <c r="F146">
        <v>1182</v>
      </c>
      <c r="G146" s="4">
        <v>2950603</v>
      </c>
      <c r="H146" s="5">
        <f t="shared" si="5"/>
        <v>1.1104439249109339</v>
      </c>
      <c r="I146" s="4">
        <v>19068906</v>
      </c>
      <c r="J146" s="4">
        <f t="shared" si="6"/>
        <v>615126</v>
      </c>
      <c r="K146" s="6">
        <f t="shared" si="7"/>
        <v>0.64277680679690352</v>
      </c>
      <c r="L146">
        <v>372</v>
      </c>
      <c r="M146" s="6">
        <f t="shared" si="8"/>
        <v>0.31472081218274112</v>
      </c>
      <c r="N146" s="26"/>
      <c r="O146" s="11">
        <v>453050</v>
      </c>
      <c r="P146" s="8">
        <f t="shared" si="9"/>
        <v>14614.516129032258</v>
      </c>
      <c r="Q146" s="9">
        <f t="shared" si="10"/>
        <v>65.481624544752236</v>
      </c>
      <c r="R146" s="2"/>
    </row>
    <row r="147" spans="1:18" x14ac:dyDescent="0.25">
      <c r="A147" s="3">
        <v>37653</v>
      </c>
      <c r="B147">
        <v>28</v>
      </c>
      <c r="C147" s="4">
        <v>27206998</v>
      </c>
      <c r="D147" s="4">
        <f t="shared" si="4"/>
        <v>971678.5</v>
      </c>
      <c r="E147" s="10">
        <v>32.11</v>
      </c>
      <c r="F147">
        <v>1187</v>
      </c>
      <c r="G147" s="4">
        <v>2779456</v>
      </c>
      <c r="H147" s="5">
        <f t="shared" si="5"/>
        <v>1.1137836954696465</v>
      </c>
      <c r="I147" s="4">
        <v>17532544</v>
      </c>
      <c r="J147" s="4">
        <f t="shared" si="6"/>
        <v>626162.28571428568</v>
      </c>
      <c r="K147" s="6">
        <f t="shared" si="7"/>
        <v>0.64441302932429367</v>
      </c>
      <c r="L147">
        <v>372</v>
      </c>
      <c r="M147" s="6">
        <f t="shared" si="8"/>
        <v>0.31339511373209772</v>
      </c>
      <c r="N147" s="26"/>
      <c r="O147" s="11">
        <v>407188</v>
      </c>
      <c r="P147" s="8">
        <f t="shared" si="9"/>
        <v>14542.428571428571</v>
      </c>
      <c r="Q147" s="9">
        <f t="shared" si="10"/>
        <v>66.816797155122458</v>
      </c>
      <c r="R147" s="2"/>
    </row>
    <row r="148" spans="1:18" x14ac:dyDescent="0.25">
      <c r="A148" s="3">
        <v>37681</v>
      </c>
      <c r="B148">
        <v>31</v>
      </c>
      <c r="C148" s="4">
        <v>30098493</v>
      </c>
      <c r="D148" s="4">
        <f t="shared" si="4"/>
        <v>970919.12903225806</v>
      </c>
      <c r="E148" s="10">
        <v>29.7</v>
      </c>
      <c r="F148">
        <v>1184</v>
      </c>
      <c r="G148" s="4">
        <v>3129179</v>
      </c>
      <c r="H148" s="5">
        <f t="shared" si="5"/>
        <v>1.1160273857911254</v>
      </c>
      <c r="I148" s="4">
        <v>19453604</v>
      </c>
      <c r="J148" s="4">
        <f t="shared" si="6"/>
        <v>627535.61290322582</v>
      </c>
      <c r="K148" s="6">
        <f t="shared" si="7"/>
        <v>0.64633149573302562</v>
      </c>
      <c r="L148">
        <v>373</v>
      </c>
      <c r="M148" s="6">
        <f t="shared" si="8"/>
        <v>0.31503378378378377</v>
      </c>
      <c r="N148" s="26"/>
      <c r="O148" s="11">
        <v>455254</v>
      </c>
      <c r="P148" s="8">
        <f t="shared" si="9"/>
        <v>14685.612903225807</v>
      </c>
      <c r="Q148" s="9">
        <f t="shared" si="10"/>
        <v>66.113626678733183</v>
      </c>
      <c r="R148" s="2"/>
    </row>
    <row r="149" spans="1:18" x14ac:dyDescent="0.25">
      <c r="A149" s="3">
        <v>37712</v>
      </c>
      <c r="B149">
        <v>30</v>
      </c>
      <c r="C149" s="4">
        <v>28833290</v>
      </c>
      <c r="D149" s="4">
        <f t="shared" si="4"/>
        <v>961109.66666666663</v>
      </c>
      <c r="E149" s="10">
        <v>24.73</v>
      </c>
      <c r="F149">
        <v>1179</v>
      </c>
      <c r="G149" s="4">
        <v>2909176</v>
      </c>
      <c r="H149" s="5">
        <f t="shared" si="5"/>
        <v>1.1122189171055181</v>
      </c>
      <c r="I149" s="4">
        <v>18679720</v>
      </c>
      <c r="J149" s="4">
        <f t="shared" si="6"/>
        <v>622657.33333333337</v>
      </c>
      <c r="K149" s="6">
        <f t="shared" si="7"/>
        <v>0.64785253434484935</v>
      </c>
      <c r="L149">
        <v>374</v>
      </c>
      <c r="M149" s="6">
        <f t="shared" si="8"/>
        <v>0.31721798134011875</v>
      </c>
      <c r="N149" s="26"/>
      <c r="O149" s="11">
        <v>434094</v>
      </c>
      <c r="P149" s="8">
        <f t="shared" si="9"/>
        <v>14469.8</v>
      </c>
      <c r="Q149" s="9">
        <f t="shared" si="10"/>
        <v>66.421765792662413</v>
      </c>
      <c r="R149" s="2"/>
    </row>
    <row r="150" spans="1:18" x14ac:dyDescent="0.25">
      <c r="A150" s="3">
        <v>37742</v>
      </c>
      <c r="B150">
        <v>31</v>
      </c>
      <c r="C150" s="4">
        <v>29646606</v>
      </c>
      <c r="D150" s="4">
        <f t="shared" ref="D150:D213" si="11">+C150/B150</f>
        <v>956342.12903225806</v>
      </c>
      <c r="E150" s="10">
        <v>24.59</v>
      </c>
      <c r="F150">
        <v>1180</v>
      </c>
      <c r="G150" s="4">
        <v>3346960</v>
      </c>
      <c r="H150" s="5">
        <f t="shared" ref="H150:H213" si="12">+(C150)/(C150-G150)</f>
        <v>1.1272625494654946</v>
      </c>
      <c r="I150" s="4">
        <v>18789324</v>
      </c>
      <c r="J150" s="4">
        <f t="shared" ref="J150:J213" si="13">+I150/B150</f>
        <v>606107.22580645164</v>
      </c>
      <c r="K150" s="6">
        <f t="shared" ref="K150:K213" si="14">+I150/C150</f>
        <v>0.63377656113485636</v>
      </c>
      <c r="L150">
        <v>374</v>
      </c>
      <c r="M150" s="6">
        <f t="shared" ref="M150:M213" si="15">+L150/F150</f>
        <v>0.31694915254237288</v>
      </c>
      <c r="N150" s="26"/>
      <c r="O150" s="11">
        <v>450270</v>
      </c>
      <c r="P150" s="8">
        <f t="shared" si="9"/>
        <v>14524.838709677419</v>
      </c>
      <c r="Q150" s="9">
        <f t="shared" si="10"/>
        <v>65.841841561729638</v>
      </c>
      <c r="R150" s="2"/>
    </row>
    <row r="151" spans="1:18" x14ac:dyDescent="0.25">
      <c r="A151" s="3">
        <v>37773</v>
      </c>
      <c r="B151">
        <v>30</v>
      </c>
      <c r="C151" s="4">
        <v>28360407</v>
      </c>
      <c r="D151" s="4">
        <f t="shared" si="11"/>
        <v>945346.9</v>
      </c>
      <c r="E151" s="10">
        <v>26.96</v>
      </c>
      <c r="F151">
        <v>1176</v>
      </c>
      <c r="G151" s="4">
        <v>3253771</v>
      </c>
      <c r="H151" s="5">
        <f t="shared" si="12"/>
        <v>1.1295980473051028</v>
      </c>
      <c r="I151" s="4">
        <v>17890434</v>
      </c>
      <c r="J151" s="4">
        <f t="shared" si="13"/>
        <v>596347.80000000005</v>
      </c>
      <c r="K151" s="6">
        <f t="shared" si="14"/>
        <v>0.63082430375558429</v>
      </c>
      <c r="L151">
        <v>374</v>
      </c>
      <c r="M151" s="6">
        <f t="shared" si="15"/>
        <v>0.31802721088435376</v>
      </c>
      <c r="N151" s="26"/>
      <c r="O151" s="11">
        <v>429783</v>
      </c>
      <c r="P151" s="8">
        <f t="shared" si="9"/>
        <v>14326.1</v>
      </c>
      <c r="Q151" s="9">
        <f t="shared" si="10"/>
        <v>65.987735671257354</v>
      </c>
      <c r="R151" s="2"/>
    </row>
    <row r="152" spans="1:18" x14ac:dyDescent="0.25">
      <c r="A152" s="3">
        <v>37803</v>
      </c>
      <c r="B152">
        <v>31</v>
      </c>
      <c r="C152" s="4">
        <v>29201616</v>
      </c>
      <c r="D152" s="4">
        <f t="shared" si="11"/>
        <v>941987.61290322582</v>
      </c>
      <c r="E152" s="10">
        <v>27.23</v>
      </c>
      <c r="F152">
        <v>1171</v>
      </c>
      <c r="G152" s="4">
        <v>3671547</v>
      </c>
      <c r="H152" s="5">
        <f t="shared" si="12"/>
        <v>1.1438126547954102</v>
      </c>
      <c r="I152" s="4">
        <v>18176065</v>
      </c>
      <c r="J152" s="4">
        <f t="shared" si="13"/>
        <v>586324.67741935479</v>
      </c>
      <c r="K152" s="6">
        <f t="shared" si="14"/>
        <v>0.62243353244560162</v>
      </c>
      <c r="L152">
        <v>375</v>
      </c>
      <c r="M152" s="6">
        <f t="shared" si="15"/>
        <v>0.32023911187019644</v>
      </c>
      <c r="N152" s="26"/>
      <c r="O152" s="11">
        <v>440459</v>
      </c>
      <c r="P152" s="8">
        <f t="shared" si="9"/>
        <v>14208.354838709678</v>
      </c>
      <c r="Q152" s="9">
        <f t="shared" si="10"/>
        <v>66.298148068265149</v>
      </c>
      <c r="R152" s="2"/>
    </row>
    <row r="153" spans="1:18" x14ac:dyDescent="0.25">
      <c r="A153" s="3">
        <v>37834</v>
      </c>
      <c r="B153">
        <v>31</v>
      </c>
      <c r="C153" s="4">
        <v>29012820</v>
      </c>
      <c r="D153" s="4">
        <f t="shared" si="11"/>
        <v>935897.41935483867</v>
      </c>
      <c r="E153" s="10">
        <v>28.1</v>
      </c>
      <c r="F153">
        <v>1164</v>
      </c>
      <c r="G153" s="4">
        <v>3853876</v>
      </c>
      <c r="H153" s="5">
        <f t="shared" si="12"/>
        <v>1.153181151005384</v>
      </c>
      <c r="I153" s="4">
        <v>17846183</v>
      </c>
      <c r="J153" s="4">
        <f t="shared" si="13"/>
        <v>575683.32258064521</v>
      </c>
      <c r="K153" s="6">
        <f t="shared" si="14"/>
        <v>0.61511369801349891</v>
      </c>
      <c r="L153">
        <v>375</v>
      </c>
      <c r="M153" s="6">
        <f t="shared" si="15"/>
        <v>0.32216494845360827</v>
      </c>
      <c r="N153" s="26"/>
      <c r="O153" s="11">
        <v>428551</v>
      </c>
      <c r="P153" s="8">
        <f t="shared" si="9"/>
        <v>13824.225806451614</v>
      </c>
      <c r="Q153" s="9">
        <f t="shared" si="10"/>
        <v>67.699807024134813</v>
      </c>
      <c r="R153" s="2"/>
    </row>
    <row r="154" spans="1:18" x14ac:dyDescent="0.25">
      <c r="A154" s="3">
        <v>37865</v>
      </c>
      <c r="B154">
        <v>30</v>
      </c>
      <c r="C154" s="4">
        <v>28350412</v>
      </c>
      <c r="D154" s="4">
        <f t="shared" si="11"/>
        <v>945013.73333333328</v>
      </c>
      <c r="E154" s="10">
        <v>24.82</v>
      </c>
      <c r="F154">
        <v>1164</v>
      </c>
      <c r="G154" s="4">
        <v>3608906</v>
      </c>
      <c r="H154" s="5">
        <f t="shared" si="12"/>
        <v>1.1458644433366345</v>
      </c>
      <c r="I154" s="4">
        <v>17766393</v>
      </c>
      <c r="J154" s="4">
        <f t="shared" si="13"/>
        <v>592213.1</v>
      </c>
      <c r="K154" s="6">
        <f t="shared" si="14"/>
        <v>0.6266714219179601</v>
      </c>
      <c r="L154">
        <v>381</v>
      </c>
      <c r="M154" s="6">
        <f t="shared" si="15"/>
        <v>0.32731958762886598</v>
      </c>
      <c r="N154" s="26"/>
      <c r="O154" s="11">
        <v>416904</v>
      </c>
      <c r="P154" s="8">
        <f t="shared" ref="P154:P217" si="16">+O154/B154</f>
        <v>13896.8</v>
      </c>
      <c r="Q154" s="9">
        <f t="shared" ref="Q154:Q217" si="17">+(D154-(N154/B154))/P154</f>
        <v>68.002254715713931</v>
      </c>
      <c r="R154" s="2"/>
    </row>
    <row r="155" spans="1:18" x14ac:dyDescent="0.25">
      <c r="A155" s="3">
        <v>37895</v>
      </c>
      <c r="B155">
        <v>31</v>
      </c>
      <c r="C155" s="4">
        <v>29197794</v>
      </c>
      <c r="D155" s="4">
        <f t="shared" si="11"/>
        <v>941864.32258064521</v>
      </c>
      <c r="E155" s="10">
        <v>26.93</v>
      </c>
      <c r="F155">
        <v>1163</v>
      </c>
      <c r="G155" s="4">
        <v>3768146</v>
      </c>
      <c r="H155" s="5">
        <f t="shared" si="12"/>
        <v>1.1481792433776512</v>
      </c>
      <c r="I155" s="4">
        <v>18291714</v>
      </c>
      <c r="J155" s="4">
        <f t="shared" si="13"/>
        <v>590055.29032258061</v>
      </c>
      <c r="K155" s="6">
        <f t="shared" si="14"/>
        <v>0.62647589061009201</v>
      </c>
      <c r="L155">
        <v>384</v>
      </c>
      <c r="M155" s="6">
        <f t="shared" si="15"/>
        <v>0.33018056749785041</v>
      </c>
      <c r="N155" s="26"/>
      <c r="O155" s="11">
        <v>429086</v>
      </c>
      <c r="P155" s="8">
        <f t="shared" si="16"/>
        <v>13841.483870967742</v>
      </c>
      <c r="Q155" s="9">
        <f t="shared" si="17"/>
        <v>68.046484853852149</v>
      </c>
      <c r="R155" s="2"/>
    </row>
    <row r="156" spans="1:18" x14ac:dyDescent="0.25">
      <c r="A156" s="3">
        <v>37926</v>
      </c>
      <c r="B156">
        <v>30</v>
      </c>
      <c r="C156" s="4">
        <v>28122829</v>
      </c>
      <c r="D156" s="4">
        <f t="shared" si="11"/>
        <v>937427.6333333333</v>
      </c>
      <c r="E156" s="10">
        <v>27.4</v>
      </c>
      <c r="F156">
        <v>1164</v>
      </c>
      <c r="G156" s="4">
        <v>3500100</v>
      </c>
      <c r="H156" s="5">
        <f t="shared" si="12"/>
        <v>1.1421491500799932</v>
      </c>
      <c r="I156" s="4">
        <v>17722882</v>
      </c>
      <c r="J156" s="4">
        <f t="shared" si="13"/>
        <v>590762.73333333328</v>
      </c>
      <c r="K156" s="6">
        <f t="shared" si="14"/>
        <v>0.63019556105113039</v>
      </c>
      <c r="L156">
        <v>387</v>
      </c>
      <c r="M156" s="6">
        <f t="shared" si="15"/>
        <v>0.3324742268041237</v>
      </c>
      <c r="N156" s="26"/>
      <c r="O156" s="11">
        <v>414172</v>
      </c>
      <c r="P156" s="8">
        <f t="shared" si="16"/>
        <v>13805.733333333334</v>
      </c>
      <c r="Q156" s="9">
        <f t="shared" si="17"/>
        <v>67.901328433597627</v>
      </c>
      <c r="R156" s="2"/>
    </row>
    <row r="157" spans="1:18" x14ac:dyDescent="0.25">
      <c r="A157" s="3">
        <v>37956</v>
      </c>
      <c r="B157">
        <v>31</v>
      </c>
      <c r="C157" s="4">
        <v>28583027</v>
      </c>
      <c r="D157" s="4">
        <f t="shared" si="11"/>
        <v>922033.12903225806</v>
      </c>
      <c r="E157" s="10">
        <v>28.71</v>
      </c>
      <c r="F157">
        <v>1166</v>
      </c>
      <c r="G157" s="4">
        <v>3320387</v>
      </c>
      <c r="H157" s="5">
        <f t="shared" si="12"/>
        <v>1.1314346798276032</v>
      </c>
      <c r="I157" s="4">
        <v>18141409</v>
      </c>
      <c r="J157" s="4">
        <f t="shared" si="13"/>
        <v>585206.74193548388</v>
      </c>
      <c r="K157" s="6">
        <f t="shared" si="14"/>
        <v>0.63469166509201425</v>
      </c>
      <c r="L157">
        <v>390</v>
      </c>
      <c r="M157" s="6">
        <f t="shared" si="15"/>
        <v>0.33447684391080618</v>
      </c>
      <c r="N157" s="26"/>
      <c r="O157" s="11">
        <v>418909</v>
      </c>
      <c r="P157" s="8">
        <f t="shared" si="16"/>
        <v>13513.193548387097</v>
      </c>
      <c r="Q157" s="9">
        <f t="shared" si="17"/>
        <v>68.23206710765345</v>
      </c>
      <c r="R157" s="2"/>
    </row>
    <row r="158" spans="1:18" x14ac:dyDescent="0.25">
      <c r="A158" s="3">
        <v>37987</v>
      </c>
      <c r="B158">
        <v>31</v>
      </c>
      <c r="C158" s="4">
        <v>28698941</v>
      </c>
      <c r="D158" s="4">
        <f t="shared" si="11"/>
        <v>925772.29032258061</v>
      </c>
      <c r="E158" s="10">
        <v>30.55</v>
      </c>
      <c r="F158">
        <v>1163</v>
      </c>
      <c r="G158" s="4">
        <v>3397713</v>
      </c>
      <c r="H158" s="5">
        <f t="shared" si="12"/>
        <v>1.1342904383929506</v>
      </c>
      <c r="I158" s="4">
        <v>18274964</v>
      </c>
      <c r="J158" s="4">
        <f t="shared" si="13"/>
        <v>589514.96774193551</v>
      </c>
      <c r="K158" s="6">
        <f t="shared" si="14"/>
        <v>0.63678182410981643</v>
      </c>
      <c r="L158">
        <v>388</v>
      </c>
      <c r="M158" s="6">
        <f t="shared" si="15"/>
        <v>0.33361994840928633</v>
      </c>
      <c r="N158" s="26"/>
      <c r="O158" s="11">
        <v>413934</v>
      </c>
      <c r="P158" s="8">
        <f t="shared" si="16"/>
        <v>13352.709677419354</v>
      </c>
      <c r="Q158" s="9">
        <f t="shared" si="17"/>
        <v>69.332166480646677</v>
      </c>
      <c r="R158" s="2"/>
    </row>
    <row r="159" spans="1:18" x14ac:dyDescent="0.25">
      <c r="A159" s="3">
        <v>38018</v>
      </c>
      <c r="B159">
        <v>29</v>
      </c>
      <c r="C159" s="4">
        <v>27257959</v>
      </c>
      <c r="D159" s="4">
        <f t="shared" si="11"/>
        <v>939929.62068965519</v>
      </c>
      <c r="E159" s="10">
        <v>30.94</v>
      </c>
      <c r="F159">
        <v>1161</v>
      </c>
      <c r="G159" s="4">
        <v>3591902</v>
      </c>
      <c r="H159" s="5">
        <f t="shared" si="12"/>
        <v>1.1517744168367379</v>
      </c>
      <c r="I159" s="4">
        <v>17148783</v>
      </c>
      <c r="J159" s="4">
        <f t="shared" si="13"/>
        <v>591337.3448275862</v>
      </c>
      <c r="K159" s="6">
        <f t="shared" si="14"/>
        <v>0.62912938565943255</v>
      </c>
      <c r="L159">
        <v>392</v>
      </c>
      <c r="M159" s="6">
        <f t="shared" si="15"/>
        <v>0.33763996554694231</v>
      </c>
      <c r="N159" s="26"/>
      <c r="O159" s="11">
        <v>396101</v>
      </c>
      <c r="P159" s="8">
        <f t="shared" si="16"/>
        <v>13658.655172413793</v>
      </c>
      <c r="Q159" s="9">
        <f t="shared" si="17"/>
        <v>68.815678324467754</v>
      </c>
      <c r="R159" s="2"/>
    </row>
    <row r="160" spans="1:18" x14ac:dyDescent="0.25">
      <c r="A160" s="3">
        <v>38047</v>
      </c>
      <c r="B160" s="2">
        <v>31</v>
      </c>
      <c r="C160" s="8">
        <v>28943858</v>
      </c>
      <c r="D160" s="8">
        <f t="shared" si="11"/>
        <v>933672.83870967745</v>
      </c>
      <c r="E160" s="9">
        <v>33.22</v>
      </c>
      <c r="F160" s="2">
        <v>1160</v>
      </c>
      <c r="G160" s="8">
        <v>3996493</v>
      </c>
      <c r="H160" s="12">
        <f t="shared" si="12"/>
        <v>1.1601969987611918</v>
      </c>
      <c r="I160" s="8">
        <v>18167362</v>
      </c>
      <c r="J160" s="8">
        <f t="shared" si="13"/>
        <v>586043.93548387091</v>
      </c>
      <c r="K160" s="13">
        <f t="shared" si="14"/>
        <v>0.62767589586709549</v>
      </c>
      <c r="L160" s="2">
        <v>395</v>
      </c>
      <c r="M160" s="13">
        <f t="shared" si="15"/>
        <v>0.34051724137931033</v>
      </c>
      <c r="N160" s="27"/>
      <c r="O160" s="11">
        <v>414435</v>
      </c>
      <c r="P160" s="8">
        <f t="shared" si="16"/>
        <v>13368.870967741936</v>
      </c>
      <c r="Q160" s="9">
        <f t="shared" si="17"/>
        <v>69.839318590370027</v>
      </c>
      <c r="R160" s="2"/>
    </row>
    <row r="161" spans="1:18" x14ac:dyDescent="0.25">
      <c r="A161" s="3">
        <v>38078</v>
      </c>
      <c r="B161" s="2">
        <v>30</v>
      </c>
      <c r="C161" s="8">
        <v>28030290</v>
      </c>
      <c r="D161" s="8">
        <f t="shared" si="11"/>
        <v>934343</v>
      </c>
      <c r="E161" s="9">
        <v>33.07</v>
      </c>
      <c r="F161" s="2">
        <v>1166</v>
      </c>
      <c r="G161" s="8">
        <v>3724968</v>
      </c>
      <c r="H161" s="12">
        <f t="shared" si="12"/>
        <v>1.1532572989569938</v>
      </c>
      <c r="I161" s="8">
        <v>17794020</v>
      </c>
      <c r="J161" s="8">
        <f t="shared" si="13"/>
        <v>593134</v>
      </c>
      <c r="K161" s="13">
        <f t="shared" si="14"/>
        <v>0.63481398158920221</v>
      </c>
      <c r="L161" s="2">
        <v>399</v>
      </c>
      <c r="M161" s="13">
        <f t="shared" si="15"/>
        <v>0.34219554030874788</v>
      </c>
      <c r="N161" s="27"/>
      <c r="O161" s="11">
        <v>398684</v>
      </c>
      <c r="P161" s="8">
        <f t="shared" si="16"/>
        <v>13289.466666666667</v>
      </c>
      <c r="Q161" s="9">
        <f t="shared" si="17"/>
        <v>70.307035145629115</v>
      </c>
      <c r="R161" s="2"/>
    </row>
    <row r="162" spans="1:18" x14ac:dyDescent="0.25">
      <c r="A162" s="3">
        <v>38108</v>
      </c>
      <c r="B162" s="2">
        <v>31</v>
      </c>
      <c r="C162" s="8">
        <v>28857636</v>
      </c>
      <c r="D162" s="8">
        <f t="shared" si="11"/>
        <v>930891.48387096776</v>
      </c>
      <c r="E162" s="9">
        <v>36.520000000000003</v>
      </c>
      <c r="F162" s="2">
        <v>1168</v>
      </c>
      <c r="G162" s="8">
        <v>4004819</v>
      </c>
      <c r="H162" s="12">
        <f t="shared" si="12"/>
        <v>1.1611414512890028</v>
      </c>
      <c r="I162" s="8">
        <v>18111987</v>
      </c>
      <c r="J162" s="8">
        <f t="shared" si="13"/>
        <v>584257.6451612903</v>
      </c>
      <c r="K162" s="13">
        <f t="shared" si="14"/>
        <v>0.62763238818314848</v>
      </c>
      <c r="L162" s="2">
        <v>404</v>
      </c>
      <c r="M162" s="13">
        <f t="shared" si="15"/>
        <v>0.3458904109589041</v>
      </c>
      <c r="N162" s="27"/>
      <c r="O162" s="11">
        <v>407253</v>
      </c>
      <c r="P162" s="8">
        <f t="shared" si="16"/>
        <v>13137.193548387097</v>
      </c>
      <c r="Q162" s="9">
        <f t="shared" si="17"/>
        <v>70.859234922763008</v>
      </c>
      <c r="R162" s="2"/>
    </row>
    <row r="163" spans="1:18" x14ac:dyDescent="0.25">
      <c r="A163" s="3">
        <v>38139</v>
      </c>
      <c r="B163" s="2">
        <v>30</v>
      </c>
      <c r="C163" s="8">
        <v>24641404</v>
      </c>
      <c r="D163" s="8">
        <f t="shared" si="11"/>
        <v>821380.1333333333</v>
      </c>
      <c r="E163" s="9">
        <v>34.6</v>
      </c>
      <c r="F163" s="2">
        <v>1168</v>
      </c>
      <c r="G163" s="8">
        <v>4081812</v>
      </c>
      <c r="H163" s="12">
        <f t="shared" si="12"/>
        <v>1.1985356518748038</v>
      </c>
      <c r="I163" s="8">
        <v>15180174</v>
      </c>
      <c r="J163" s="8">
        <f t="shared" si="13"/>
        <v>506005.8</v>
      </c>
      <c r="K163" s="13">
        <f t="shared" si="14"/>
        <v>0.61604338778748158</v>
      </c>
      <c r="L163" s="2">
        <v>404</v>
      </c>
      <c r="M163" s="13">
        <f t="shared" si="15"/>
        <v>0.3458904109589041</v>
      </c>
      <c r="N163" s="27"/>
      <c r="O163" s="11">
        <v>350183</v>
      </c>
      <c r="P163" s="8">
        <f t="shared" si="16"/>
        <v>11672.766666666666</v>
      </c>
      <c r="Q163" s="9">
        <f t="shared" si="17"/>
        <v>70.367219425271927</v>
      </c>
      <c r="R163" s="2"/>
    </row>
    <row r="164" spans="1:18" x14ac:dyDescent="0.25">
      <c r="A164" s="3">
        <v>38169</v>
      </c>
      <c r="B164" s="2">
        <v>31</v>
      </c>
      <c r="C164" s="8">
        <v>28796881</v>
      </c>
      <c r="D164" s="8">
        <f t="shared" si="11"/>
        <v>928931.6451612903</v>
      </c>
      <c r="E164" s="9">
        <v>37.159999999999997</v>
      </c>
      <c r="F164" s="2">
        <v>1168</v>
      </c>
      <c r="G164" s="8">
        <v>3823193</v>
      </c>
      <c r="H164" s="12">
        <f t="shared" si="12"/>
        <v>1.1530888429454231</v>
      </c>
      <c r="I164" s="8">
        <v>18094942</v>
      </c>
      <c r="J164" s="8">
        <f t="shared" si="13"/>
        <v>583707.80645161285</v>
      </c>
      <c r="K164" s="13">
        <f t="shared" si="14"/>
        <v>0.62836464824089799</v>
      </c>
      <c r="L164" s="2">
        <v>404</v>
      </c>
      <c r="M164" s="13">
        <f t="shared" si="15"/>
        <v>0.3458904109589041</v>
      </c>
      <c r="N164" s="27"/>
      <c r="O164" s="11">
        <v>404979</v>
      </c>
      <c r="P164" s="8">
        <f t="shared" si="16"/>
        <v>13063.838709677419</v>
      </c>
      <c r="Q164" s="9">
        <f t="shared" si="17"/>
        <v>71.107096911197871</v>
      </c>
      <c r="R164" s="2"/>
    </row>
    <row r="165" spans="1:18" x14ac:dyDescent="0.25">
      <c r="A165" s="3">
        <v>38200</v>
      </c>
      <c r="B165" s="2">
        <v>31</v>
      </c>
      <c r="C165" s="8">
        <v>28373974</v>
      </c>
      <c r="D165" s="8">
        <f t="shared" si="11"/>
        <v>915289.48387096776</v>
      </c>
      <c r="E165" s="9">
        <v>41.42</v>
      </c>
      <c r="F165" s="2">
        <v>1172</v>
      </c>
      <c r="G165" s="8">
        <v>4062122</v>
      </c>
      <c r="H165" s="12">
        <f t="shared" si="12"/>
        <v>1.1670840214065139</v>
      </c>
      <c r="I165" s="8">
        <v>17526802</v>
      </c>
      <c r="J165" s="8">
        <f t="shared" si="13"/>
        <v>565380.70967741939</v>
      </c>
      <c r="K165" s="13">
        <f t="shared" si="14"/>
        <v>0.61770698739626673</v>
      </c>
      <c r="L165" s="2">
        <v>407</v>
      </c>
      <c r="M165" s="13">
        <f t="shared" si="15"/>
        <v>0.34726962457337884</v>
      </c>
      <c r="N165" s="27"/>
      <c r="O165" s="11">
        <v>404244</v>
      </c>
      <c r="P165" s="8">
        <f t="shared" si="16"/>
        <v>13040.129032258064</v>
      </c>
      <c r="Q165" s="9">
        <f t="shared" si="17"/>
        <v>70.190216799754609</v>
      </c>
      <c r="R165" s="2"/>
    </row>
    <row r="166" spans="1:18" x14ac:dyDescent="0.25">
      <c r="A166" s="3">
        <v>38231</v>
      </c>
      <c r="B166" s="2">
        <v>30</v>
      </c>
      <c r="C166" s="8">
        <v>27627378</v>
      </c>
      <c r="D166" s="8">
        <f t="shared" si="11"/>
        <v>920912.6</v>
      </c>
      <c r="E166" s="9">
        <v>42.13</v>
      </c>
      <c r="F166" s="2">
        <v>1173</v>
      </c>
      <c r="G166" s="8">
        <v>3610690</v>
      </c>
      <c r="H166" s="12">
        <f t="shared" si="12"/>
        <v>1.1503408796416892</v>
      </c>
      <c r="I166" s="8">
        <v>17546567</v>
      </c>
      <c r="J166" s="8">
        <f t="shared" si="13"/>
        <v>584885.56666666665</v>
      </c>
      <c r="K166" s="13">
        <f t="shared" si="14"/>
        <v>0.63511517451999966</v>
      </c>
      <c r="L166" s="2">
        <v>408</v>
      </c>
      <c r="M166" s="13">
        <f t="shared" si="15"/>
        <v>0.34782608695652173</v>
      </c>
      <c r="N166" s="27"/>
      <c r="O166" s="11">
        <v>387581</v>
      </c>
      <c r="P166" s="8">
        <f t="shared" si="16"/>
        <v>12919.366666666667</v>
      </c>
      <c r="Q166" s="9">
        <f t="shared" si="17"/>
        <v>71.281559209558779</v>
      </c>
      <c r="R166" s="2"/>
    </row>
    <row r="167" spans="1:18" x14ac:dyDescent="0.25">
      <c r="A167" s="3">
        <v>38261</v>
      </c>
      <c r="B167" s="2">
        <v>31</v>
      </c>
      <c r="C167" s="8">
        <v>28900109</v>
      </c>
      <c r="D167" s="8">
        <f t="shared" si="11"/>
        <v>932261.58064516133</v>
      </c>
      <c r="E167" s="9">
        <v>49.56</v>
      </c>
      <c r="F167" s="2">
        <v>1170</v>
      </c>
      <c r="G167" s="8">
        <v>4205600</v>
      </c>
      <c r="H167" s="12">
        <f t="shared" si="12"/>
        <v>1.170305066604078</v>
      </c>
      <c r="I167" s="8">
        <v>18068485</v>
      </c>
      <c r="J167" s="8">
        <f t="shared" si="13"/>
        <v>582854.3548387097</v>
      </c>
      <c r="K167" s="13">
        <f t="shared" si="14"/>
        <v>0.62520473538698418</v>
      </c>
      <c r="L167" s="2">
        <v>410</v>
      </c>
      <c r="M167" s="13">
        <f t="shared" si="15"/>
        <v>0.3504273504273504</v>
      </c>
      <c r="N167" s="27"/>
      <c r="O167" s="11">
        <v>404693</v>
      </c>
      <c r="P167" s="8">
        <f t="shared" si="16"/>
        <v>13054.612903225807</v>
      </c>
      <c r="Q167" s="9">
        <f t="shared" si="17"/>
        <v>71.41242620949707</v>
      </c>
      <c r="R167" s="2"/>
    </row>
    <row r="168" spans="1:18" x14ac:dyDescent="0.25">
      <c r="A168" s="3">
        <v>38292</v>
      </c>
      <c r="B168" s="2">
        <v>30</v>
      </c>
      <c r="C168" s="8">
        <v>27998618</v>
      </c>
      <c r="D168" s="8">
        <f t="shared" si="11"/>
        <v>933287.26666666672</v>
      </c>
      <c r="E168" s="9">
        <v>45.024999999999999</v>
      </c>
      <c r="F168" s="2">
        <v>1170</v>
      </c>
      <c r="G168" s="8">
        <v>3841586</v>
      </c>
      <c r="H168" s="12">
        <f t="shared" si="12"/>
        <v>1.1590255789701318</v>
      </c>
      <c r="I168" s="8">
        <v>17672604</v>
      </c>
      <c r="J168" s="8">
        <f t="shared" si="13"/>
        <v>589086.80000000005</v>
      </c>
      <c r="K168" s="13">
        <f t="shared" si="14"/>
        <v>0.63119558258196884</v>
      </c>
      <c r="L168" s="2">
        <v>412</v>
      </c>
      <c r="M168" s="13">
        <f t="shared" si="15"/>
        <v>0.35213675213675216</v>
      </c>
      <c r="N168" s="27"/>
      <c r="O168" s="11">
        <v>380358</v>
      </c>
      <c r="P168" s="8">
        <f t="shared" si="16"/>
        <v>12678.6</v>
      </c>
      <c r="Q168" s="9">
        <f t="shared" si="17"/>
        <v>73.611224162499539</v>
      </c>
      <c r="R168" s="2"/>
    </row>
    <row r="169" spans="1:18" x14ac:dyDescent="0.25">
      <c r="A169" s="3">
        <v>38322</v>
      </c>
      <c r="B169" s="2">
        <v>31</v>
      </c>
      <c r="C169" s="8">
        <v>28298671</v>
      </c>
      <c r="D169" s="8">
        <f t="shared" si="11"/>
        <v>912860.3548387097</v>
      </c>
      <c r="E169" s="9">
        <v>39.78</v>
      </c>
      <c r="F169" s="2">
        <v>1164</v>
      </c>
      <c r="G169" s="8">
        <v>3576862</v>
      </c>
      <c r="H169" s="12">
        <f t="shared" si="12"/>
        <v>1.1446844767710971</v>
      </c>
      <c r="I169" s="8">
        <v>18010764</v>
      </c>
      <c r="J169" s="8">
        <f t="shared" si="13"/>
        <v>580992.38709677418</v>
      </c>
      <c r="K169" s="13">
        <f t="shared" si="14"/>
        <v>0.63645264471960539</v>
      </c>
      <c r="L169" s="2">
        <v>411</v>
      </c>
      <c r="M169" s="13">
        <f t="shared" si="15"/>
        <v>0.35309278350515466</v>
      </c>
      <c r="N169" s="27"/>
      <c r="O169" s="11">
        <v>388029</v>
      </c>
      <c r="P169" s="8">
        <f t="shared" si="16"/>
        <v>12517.064516129032</v>
      </c>
      <c r="Q169" s="9">
        <f t="shared" si="17"/>
        <v>72.929268173255096</v>
      </c>
      <c r="R169" s="2"/>
    </row>
    <row r="170" spans="1:18" ht="13.5" customHeight="1" x14ac:dyDescent="0.25">
      <c r="A170" s="3">
        <v>38353</v>
      </c>
      <c r="B170" s="2">
        <v>31</v>
      </c>
      <c r="C170" s="8">
        <v>28393974</v>
      </c>
      <c r="D170" s="8">
        <f t="shared" si="11"/>
        <v>915934.6451612903</v>
      </c>
      <c r="E170" s="9">
        <v>43.22</v>
      </c>
      <c r="F170" s="2">
        <v>1165</v>
      </c>
      <c r="G170" s="8">
        <v>3964394</v>
      </c>
      <c r="H170" s="12">
        <f t="shared" si="12"/>
        <v>1.162278434586268</v>
      </c>
      <c r="I170" s="8">
        <v>17775805</v>
      </c>
      <c r="J170" s="8">
        <f t="shared" si="13"/>
        <v>573413.06451612909</v>
      </c>
      <c r="K170" s="13">
        <f t="shared" si="14"/>
        <v>0.62604146217785506</v>
      </c>
      <c r="L170" s="2">
        <v>412</v>
      </c>
      <c r="M170" s="13">
        <f t="shared" si="15"/>
        <v>0.35364806866952792</v>
      </c>
      <c r="N170" s="27"/>
      <c r="O170" s="11">
        <v>384471</v>
      </c>
      <c r="P170" s="8">
        <f t="shared" si="16"/>
        <v>12402.290322580646</v>
      </c>
      <c r="Q170" s="9">
        <f t="shared" si="17"/>
        <v>73.852056461995829</v>
      </c>
      <c r="R170" s="2"/>
    </row>
    <row r="171" spans="1:18" ht="12.75" customHeight="1" x14ac:dyDescent="0.25">
      <c r="A171" s="3">
        <v>38384</v>
      </c>
      <c r="B171" s="2">
        <v>28</v>
      </c>
      <c r="C171" s="8">
        <v>25932291</v>
      </c>
      <c r="D171" s="8">
        <f t="shared" si="11"/>
        <v>926153.25</v>
      </c>
      <c r="E171" s="9">
        <v>44.57</v>
      </c>
      <c r="F171" s="2">
        <v>1165</v>
      </c>
      <c r="G171" s="8">
        <v>3562373</v>
      </c>
      <c r="H171" s="12">
        <f t="shared" si="12"/>
        <v>1.1592483709596075</v>
      </c>
      <c r="I171" s="8">
        <v>16333013</v>
      </c>
      <c r="J171" s="8">
        <f t="shared" si="13"/>
        <v>583321.89285714284</v>
      </c>
      <c r="K171" s="13">
        <f t="shared" si="14"/>
        <v>0.62983301398245151</v>
      </c>
      <c r="L171" s="2">
        <v>412</v>
      </c>
      <c r="M171" s="13">
        <f t="shared" si="15"/>
        <v>0.35364806866952792</v>
      </c>
      <c r="N171" s="27"/>
      <c r="O171" s="11">
        <v>348760</v>
      </c>
      <c r="P171" s="8">
        <f t="shared" si="16"/>
        <v>12455.714285714286</v>
      </c>
      <c r="Q171" s="9">
        <f t="shared" si="17"/>
        <v>74.355691593072592</v>
      </c>
      <c r="R171" s="2"/>
    </row>
    <row r="172" spans="1:18" x14ac:dyDescent="0.25">
      <c r="A172" s="3">
        <v>38412</v>
      </c>
      <c r="B172" s="2">
        <v>31</v>
      </c>
      <c r="C172" s="8">
        <v>29140981</v>
      </c>
      <c r="D172" s="8">
        <f t="shared" si="11"/>
        <v>940031.6451612903</v>
      </c>
      <c r="E172" s="9">
        <v>51.14</v>
      </c>
      <c r="F172" s="2">
        <v>1170</v>
      </c>
      <c r="G172" s="8">
        <v>3987891</v>
      </c>
      <c r="H172" s="12">
        <f t="shared" si="12"/>
        <v>1.1585447752144966</v>
      </c>
      <c r="I172" s="8">
        <v>18412389</v>
      </c>
      <c r="J172" s="8">
        <f t="shared" si="13"/>
        <v>593948.03225806449</v>
      </c>
      <c r="K172" s="13">
        <f t="shared" si="14"/>
        <v>0.63183833790633193</v>
      </c>
      <c r="L172" s="2">
        <v>414</v>
      </c>
      <c r="M172" s="13">
        <f t="shared" si="15"/>
        <v>0.35384615384615387</v>
      </c>
      <c r="N172" s="27"/>
      <c r="O172" s="11">
        <v>391984</v>
      </c>
      <c r="P172" s="8">
        <f t="shared" si="16"/>
        <v>12644.645161290322</v>
      </c>
      <c r="Q172" s="9">
        <f t="shared" si="17"/>
        <v>74.34227162333157</v>
      </c>
      <c r="R172" s="2"/>
    </row>
    <row r="173" spans="1:18" x14ac:dyDescent="0.25">
      <c r="A173" s="3">
        <v>38443</v>
      </c>
      <c r="B173" s="2">
        <v>30</v>
      </c>
      <c r="C173" s="8">
        <v>28126272</v>
      </c>
      <c r="D173" s="8">
        <f t="shared" si="11"/>
        <v>937542.4</v>
      </c>
      <c r="E173" s="9">
        <v>49.74</v>
      </c>
      <c r="F173" s="2">
        <v>1170</v>
      </c>
      <c r="G173" s="8">
        <v>3933073</v>
      </c>
      <c r="H173" s="12">
        <f t="shared" si="12"/>
        <v>1.1625693650517239</v>
      </c>
      <c r="I173" s="8">
        <v>17652680</v>
      </c>
      <c r="J173" s="8">
        <f t="shared" si="13"/>
        <v>588422.66666666663</v>
      </c>
      <c r="K173" s="13">
        <f t="shared" si="14"/>
        <v>0.62762245917269088</v>
      </c>
      <c r="L173" s="2">
        <v>414</v>
      </c>
      <c r="M173" s="13">
        <f t="shared" si="15"/>
        <v>0.35384615384615387</v>
      </c>
      <c r="N173" s="27"/>
      <c r="O173" s="11">
        <v>370325</v>
      </c>
      <c r="P173" s="8">
        <f t="shared" si="16"/>
        <v>12344.166666666666</v>
      </c>
      <c r="Q173" s="9">
        <f t="shared" si="17"/>
        <v>75.950238304192268</v>
      </c>
      <c r="R173" s="2"/>
    </row>
    <row r="174" spans="1:18" x14ac:dyDescent="0.25">
      <c r="A174" s="3">
        <v>38473</v>
      </c>
      <c r="B174" s="2">
        <v>31</v>
      </c>
      <c r="C174" s="8">
        <v>29151547</v>
      </c>
      <c r="D174" s="8">
        <f t="shared" si="11"/>
        <v>940372.48387096776</v>
      </c>
      <c r="E174" s="9">
        <v>46</v>
      </c>
      <c r="F174" s="2">
        <v>1170</v>
      </c>
      <c r="G174" s="8">
        <v>4100504</v>
      </c>
      <c r="H174" s="12">
        <f t="shared" si="12"/>
        <v>1.1636859591035791</v>
      </c>
      <c r="I174" s="8">
        <v>18342579</v>
      </c>
      <c r="J174" s="8">
        <f t="shared" si="13"/>
        <v>591696.09677419357</v>
      </c>
      <c r="K174" s="13">
        <f t="shared" si="14"/>
        <v>0.62921460051502587</v>
      </c>
      <c r="L174" s="2">
        <v>416</v>
      </c>
      <c r="M174" s="13">
        <f t="shared" si="15"/>
        <v>0.35555555555555557</v>
      </c>
      <c r="N174" s="27"/>
      <c r="O174" s="11">
        <v>384236</v>
      </c>
      <c r="P174" s="8">
        <f t="shared" si="16"/>
        <v>12394.709677419354</v>
      </c>
      <c r="Q174" s="9">
        <f t="shared" si="17"/>
        <v>75.868859242757054</v>
      </c>
      <c r="R174" s="2"/>
    </row>
    <row r="175" spans="1:18" x14ac:dyDescent="0.25">
      <c r="A175" s="3">
        <v>38504</v>
      </c>
      <c r="B175" s="2">
        <v>30</v>
      </c>
      <c r="C175" s="8">
        <v>28303491</v>
      </c>
      <c r="D175" s="8">
        <f t="shared" si="11"/>
        <v>943449.7</v>
      </c>
      <c r="E175" s="9">
        <v>52.64</v>
      </c>
      <c r="F175" s="2">
        <v>1170</v>
      </c>
      <c r="G175" s="8">
        <v>3877009</v>
      </c>
      <c r="H175" s="12">
        <f t="shared" si="12"/>
        <v>1.1587215465575436</v>
      </c>
      <c r="I175" s="8">
        <v>17857416</v>
      </c>
      <c r="J175" s="8">
        <f t="shared" si="13"/>
        <v>595247.19999999995</v>
      </c>
      <c r="K175" s="13">
        <f t="shared" si="14"/>
        <v>0.63092626983717304</v>
      </c>
      <c r="L175" s="2">
        <v>416</v>
      </c>
      <c r="M175" s="13">
        <f t="shared" si="15"/>
        <v>0.35555555555555557</v>
      </c>
      <c r="N175" s="27"/>
      <c r="O175" s="11">
        <v>366658</v>
      </c>
      <c r="P175" s="8">
        <f t="shared" si="16"/>
        <v>12221.933333333332</v>
      </c>
      <c r="Q175" s="9">
        <f t="shared" si="17"/>
        <v>77.193163656595516</v>
      </c>
      <c r="R175" s="2"/>
    </row>
    <row r="176" spans="1:18" x14ac:dyDescent="0.25">
      <c r="A176" s="3">
        <v>38534</v>
      </c>
      <c r="B176" s="2">
        <v>31</v>
      </c>
      <c r="C176" s="8">
        <v>29654447</v>
      </c>
      <c r="D176" s="8">
        <f t="shared" si="11"/>
        <v>956595.06451612909</v>
      </c>
      <c r="E176" s="9">
        <v>55.15</v>
      </c>
      <c r="F176" s="2">
        <v>1171</v>
      </c>
      <c r="G176" s="8">
        <v>4460773</v>
      </c>
      <c r="H176" s="12">
        <f t="shared" si="12"/>
        <v>1.1770592490797491</v>
      </c>
      <c r="I176" s="8">
        <v>18491171</v>
      </c>
      <c r="J176" s="8">
        <f t="shared" si="13"/>
        <v>596489.38709677418</v>
      </c>
      <c r="K176" s="13">
        <f t="shared" si="14"/>
        <v>0.62355474037334102</v>
      </c>
      <c r="L176" s="2">
        <v>416</v>
      </c>
      <c r="M176" s="13">
        <f t="shared" si="15"/>
        <v>0.35525192143467121</v>
      </c>
      <c r="N176" s="27"/>
      <c r="O176" s="11">
        <v>377625</v>
      </c>
      <c r="P176" s="8">
        <f t="shared" si="16"/>
        <v>12181.451612903225</v>
      </c>
      <c r="Q176" s="9">
        <f t="shared" si="17"/>
        <v>78.528823568354852</v>
      </c>
      <c r="R176" s="2"/>
    </row>
    <row r="177" spans="1:18" x14ac:dyDescent="0.25">
      <c r="A177" s="3">
        <v>38565</v>
      </c>
      <c r="B177" s="2">
        <v>31</v>
      </c>
      <c r="C177" s="8">
        <v>30089415</v>
      </c>
      <c r="D177" s="8">
        <f t="shared" si="11"/>
        <v>970626.29032258061</v>
      </c>
      <c r="E177" s="9">
        <v>61.15</v>
      </c>
      <c r="F177" s="2">
        <v>1171</v>
      </c>
      <c r="G177" s="8">
        <v>4544296</v>
      </c>
      <c r="H177" s="12">
        <f t="shared" si="12"/>
        <v>1.1778929274120822</v>
      </c>
      <c r="I177" s="8">
        <v>18857778</v>
      </c>
      <c r="J177" s="8">
        <f t="shared" si="13"/>
        <v>608315.41935483867</v>
      </c>
      <c r="K177" s="13">
        <f t="shared" si="14"/>
        <v>0.62672464718905307</v>
      </c>
      <c r="L177" s="2">
        <v>416</v>
      </c>
      <c r="M177" s="13">
        <f t="shared" si="15"/>
        <v>0.35525192143467121</v>
      </c>
      <c r="N177" s="27"/>
      <c r="O177" s="11">
        <v>386011</v>
      </c>
      <c r="P177" s="8">
        <f t="shared" si="16"/>
        <v>12451.967741935483</v>
      </c>
      <c r="Q177" s="9">
        <f t="shared" si="17"/>
        <v>77.949630969065652</v>
      </c>
      <c r="R177" s="2"/>
    </row>
    <row r="178" spans="1:18" x14ac:dyDescent="0.25">
      <c r="A178" s="3">
        <v>38596</v>
      </c>
      <c r="B178" s="2">
        <v>30</v>
      </c>
      <c r="C178" s="8">
        <v>27032542</v>
      </c>
      <c r="D178" s="8">
        <f t="shared" si="11"/>
        <v>901084.73333333328</v>
      </c>
      <c r="E178" s="9">
        <v>61.5</v>
      </c>
      <c r="F178" s="2">
        <v>1177</v>
      </c>
      <c r="G178" s="8">
        <v>3781322</v>
      </c>
      <c r="H178" s="12">
        <f t="shared" si="12"/>
        <v>1.162628971727075</v>
      </c>
      <c r="I178" s="8">
        <v>16823196</v>
      </c>
      <c r="J178" s="8">
        <f t="shared" si="13"/>
        <v>560773.19999999995</v>
      </c>
      <c r="K178" s="13">
        <f t="shared" si="14"/>
        <v>0.6223312628164972</v>
      </c>
      <c r="L178" s="2">
        <v>422</v>
      </c>
      <c r="M178" s="13">
        <f t="shared" si="15"/>
        <v>0.35853865760407816</v>
      </c>
      <c r="N178" s="27"/>
      <c r="O178" s="11">
        <v>335991</v>
      </c>
      <c r="P178" s="8">
        <f t="shared" si="16"/>
        <v>11199.7</v>
      </c>
      <c r="Q178" s="9">
        <f t="shared" si="17"/>
        <v>80.456149123041982</v>
      </c>
      <c r="R178" s="2"/>
    </row>
    <row r="179" spans="1:18" x14ac:dyDescent="0.25">
      <c r="A179" s="3">
        <v>38626</v>
      </c>
      <c r="B179" s="2">
        <v>31</v>
      </c>
      <c r="C179" s="8">
        <v>29986945</v>
      </c>
      <c r="D179" s="8">
        <f t="shared" si="11"/>
        <v>967320.80645161285</v>
      </c>
      <c r="E179" s="9">
        <v>58.44</v>
      </c>
      <c r="F179" s="2">
        <v>1177</v>
      </c>
      <c r="G179" s="8">
        <v>4532463</v>
      </c>
      <c r="H179" s="12">
        <f t="shared" si="12"/>
        <v>1.1780614903104294</v>
      </c>
      <c r="I179" s="8">
        <v>18864892</v>
      </c>
      <c r="J179" s="8">
        <f t="shared" si="13"/>
        <v>608544.90322580643</v>
      </c>
      <c r="K179" s="13">
        <f t="shared" si="14"/>
        <v>0.62910349820563582</v>
      </c>
      <c r="L179" s="2">
        <v>424</v>
      </c>
      <c r="M179" s="13">
        <f t="shared" si="15"/>
        <v>0.36023789294817332</v>
      </c>
      <c r="N179" s="27"/>
      <c r="O179" s="11">
        <v>382015</v>
      </c>
      <c r="P179" s="8">
        <f t="shared" si="16"/>
        <v>12323.064516129032</v>
      </c>
      <c r="Q179" s="9">
        <f t="shared" si="17"/>
        <v>78.496773686897114</v>
      </c>
      <c r="R179" s="2"/>
    </row>
    <row r="180" spans="1:18" x14ac:dyDescent="0.25">
      <c r="A180" s="3">
        <v>38657</v>
      </c>
      <c r="B180" s="2">
        <v>30</v>
      </c>
      <c r="C180" s="8">
        <v>29370955</v>
      </c>
      <c r="D180" s="8">
        <f t="shared" si="11"/>
        <v>979031.83333333337</v>
      </c>
      <c r="E180" s="9">
        <v>54.39</v>
      </c>
      <c r="F180" s="2">
        <v>1176</v>
      </c>
      <c r="G180" s="8">
        <v>4291307</v>
      </c>
      <c r="H180" s="12">
        <f t="shared" si="12"/>
        <v>1.171107146320395</v>
      </c>
      <c r="I180" s="8">
        <v>18619582</v>
      </c>
      <c r="J180" s="8">
        <f t="shared" si="13"/>
        <v>620652.73333333328</v>
      </c>
      <c r="K180" s="13">
        <f t="shared" si="14"/>
        <v>0.6339454062695612</v>
      </c>
      <c r="L180" s="2">
        <v>422</v>
      </c>
      <c r="M180" s="13">
        <f t="shared" si="15"/>
        <v>0.358843537414966</v>
      </c>
      <c r="N180" s="27"/>
      <c r="O180" s="11">
        <v>372681</v>
      </c>
      <c r="P180" s="8">
        <f t="shared" si="16"/>
        <v>12422.7</v>
      </c>
      <c r="Q180" s="9">
        <f t="shared" si="17"/>
        <v>78.809907132373255</v>
      </c>
      <c r="R180" s="2"/>
    </row>
    <row r="181" spans="1:18" x14ac:dyDescent="0.25">
      <c r="A181" s="3">
        <v>38687</v>
      </c>
      <c r="B181" s="2">
        <v>31</v>
      </c>
      <c r="C181" s="8">
        <v>30363063</v>
      </c>
      <c r="D181" s="8">
        <f t="shared" si="11"/>
        <v>979453.6451612903</v>
      </c>
      <c r="E181" s="9">
        <v>55.37</v>
      </c>
      <c r="F181" s="2">
        <v>1176</v>
      </c>
      <c r="G181" s="8">
        <v>3764803</v>
      </c>
      <c r="H181" s="12">
        <f t="shared" si="12"/>
        <v>1.1415432062097295</v>
      </c>
      <c r="I181" s="8">
        <v>19963924</v>
      </c>
      <c r="J181" s="8">
        <f t="shared" si="13"/>
        <v>643997.54838709673</v>
      </c>
      <c r="K181" s="13">
        <f t="shared" si="14"/>
        <v>0.65750691885071011</v>
      </c>
      <c r="L181" s="2">
        <v>422</v>
      </c>
      <c r="M181" s="13">
        <f t="shared" si="15"/>
        <v>0.358843537414966</v>
      </c>
      <c r="N181" s="27"/>
      <c r="O181" s="11">
        <v>380429</v>
      </c>
      <c r="P181" s="8">
        <f t="shared" si="16"/>
        <v>12271.903225806451</v>
      </c>
      <c r="Q181" s="9">
        <f t="shared" si="17"/>
        <v>79.812693038648476</v>
      </c>
      <c r="R181" s="2"/>
    </row>
    <row r="182" spans="1:18" x14ac:dyDescent="0.25">
      <c r="A182" s="3">
        <v>38718</v>
      </c>
      <c r="B182" s="2">
        <v>31</v>
      </c>
      <c r="C182" s="8">
        <v>30410386</v>
      </c>
      <c r="D182" s="8">
        <f t="shared" si="11"/>
        <v>980980.19354838715</v>
      </c>
      <c r="E182" s="9">
        <v>61.4</v>
      </c>
      <c r="F182" s="2">
        <v>1177</v>
      </c>
      <c r="G182" s="8">
        <v>4063762</v>
      </c>
      <c r="H182" s="12">
        <f t="shared" si="12"/>
        <v>1.1542422285299248</v>
      </c>
      <c r="I182" s="8">
        <v>19587202</v>
      </c>
      <c r="J182" s="8">
        <f t="shared" si="13"/>
        <v>631845.22580645164</v>
      </c>
      <c r="K182" s="13">
        <f t="shared" si="14"/>
        <v>0.64409580332193084</v>
      </c>
      <c r="L182" s="2">
        <v>422</v>
      </c>
      <c r="M182" s="13">
        <f t="shared" si="15"/>
        <v>0.35853865760407816</v>
      </c>
      <c r="N182" s="27"/>
      <c r="O182" s="14">
        <v>377514</v>
      </c>
      <c r="P182" s="8">
        <f t="shared" si="16"/>
        <v>12177.870967741936</v>
      </c>
      <c r="Q182" s="9">
        <f t="shared" si="17"/>
        <v>80.554326462064992</v>
      </c>
      <c r="R182" s="8">
        <v>975000</v>
      </c>
    </row>
    <row r="183" spans="1:18" x14ac:dyDescent="0.25">
      <c r="A183" s="3">
        <v>38749</v>
      </c>
      <c r="B183" s="2">
        <v>28</v>
      </c>
      <c r="C183" s="8">
        <v>27489249</v>
      </c>
      <c r="D183" s="8">
        <f t="shared" si="11"/>
        <v>981758.89285714284</v>
      </c>
      <c r="E183" s="9">
        <v>57.97</v>
      </c>
      <c r="F183" s="2">
        <v>1177</v>
      </c>
      <c r="G183" s="8">
        <v>3269474</v>
      </c>
      <c r="H183" s="12">
        <f t="shared" si="12"/>
        <v>1.1349919229224879</v>
      </c>
      <c r="I183" s="8">
        <v>18015124</v>
      </c>
      <c r="J183" s="8">
        <f t="shared" si="13"/>
        <v>643397.28571428568</v>
      </c>
      <c r="K183" s="13">
        <f t="shared" si="14"/>
        <v>0.65535162492070986</v>
      </c>
      <c r="L183" s="2">
        <v>421</v>
      </c>
      <c r="M183" s="13">
        <f t="shared" si="15"/>
        <v>0.35768903993203061</v>
      </c>
      <c r="N183" s="27"/>
      <c r="O183" s="11">
        <v>340564</v>
      </c>
      <c r="P183" s="8">
        <f t="shared" si="16"/>
        <v>12163</v>
      </c>
      <c r="Q183" s="9">
        <f t="shared" si="17"/>
        <v>80.716837363902229</v>
      </c>
      <c r="R183" s="8">
        <v>975000</v>
      </c>
    </row>
    <row r="184" spans="1:18" x14ac:dyDescent="0.25">
      <c r="A184" s="3">
        <v>38777</v>
      </c>
      <c r="B184" s="2">
        <v>31</v>
      </c>
      <c r="C184" s="8">
        <v>30500659</v>
      </c>
      <c r="D184" s="8">
        <f t="shared" si="11"/>
        <v>983892.22580645164</v>
      </c>
      <c r="E184" s="9">
        <v>58.95</v>
      </c>
      <c r="F184" s="2">
        <v>1175</v>
      </c>
      <c r="G184" s="8">
        <v>3715013</v>
      </c>
      <c r="H184" s="12">
        <f t="shared" si="12"/>
        <v>1.1386941722443431</v>
      </c>
      <c r="I184" s="8">
        <v>20174791</v>
      </c>
      <c r="J184" s="8">
        <f t="shared" si="13"/>
        <v>650799.70967741939</v>
      </c>
      <c r="K184" s="13">
        <f t="shared" si="14"/>
        <v>0.66145426562750664</v>
      </c>
      <c r="L184" s="2">
        <v>428</v>
      </c>
      <c r="M184" s="13">
        <f t="shared" si="15"/>
        <v>0.36425531914893616</v>
      </c>
      <c r="N184" s="27"/>
      <c r="O184" s="11">
        <v>381906</v>
      </c>
      <c r="P184" s="8">
        <f t="shared" si="16"/>
        <v>12319.548387096775</v>
      </c>
      <c r="Q184" s="9">
        <f t="shared" si="17"/>
        <v>79.864309542138642</v>
      </c>
      <c r="R184" s="8">
        <v>975000</v>
      </c>
    </row>
    <row r="185" spans="1:18" x14ac:dyDescent="0.25">
      <c r="A185" s="3">
        <v>38808</v>
      </c>
      <c r="B185" s="2">
        <v>30</v>
      </c>
      <c r="C185" s="8">
        <v>29318727</v>
      </c>
      <c r="D185" s="8">
        <f t="shared" si="11"/>
        <v>977290.9</v>
      </c>
      <c r="E185" s="9">
        <v>66.209999999999994</v>
      </c>
      <c r="F185" s="2">
        <v>1176</v>
      </c>
      <c r="G185" s="8">
        <v>3390369</v>
      </c>
      <c r="H185" s="12">
        <f t="shared" si="12"/>
        <v>1.1307591093890326</v>
      </c>
      <c r="I185" s="8">
        <v>19541941</v>
      </c>
      <c r="J185" s="8">
        <f t="shared" si="13"/>
        <v>651398.03333333333</v>
      </c>
      <c r="K185" s="13">
        <f t="shared" si="14"/>
        <v>0.66653443036595683</v>
      </c>
      <c r="L185" s="2">
        <v>428</v>
      </c>
      <c r="M185" s="13">
        <f t="shared" si="15"/>
        <v>0.36394557823129253</v>
      </c>
      <c r="N185" s="27"/>
      <c r="O185" s="11">
        <v>356232</v>
      </c>
      <c r="P185" s="8">
        <f t="shared" si="16"/>
        <v>11874.4</v>
      </c>
      <c r="Q185" s="9">
        <f t="shared" si="17"/>
        <v>82.302339486626693</v>
      </c>
      <c r="R185" s="8">
        <v>975000</v>
      </c>
    </row>
    <row r="186" spans="1:18" x14ac:dyDescent="0.25">
      <c r="A186" s="3">
        <v>38838</v>
      </c>
      <c r="B186" s="2">
        <v>31</v>
      </c>
      <c r="C186" s="8">
        <v>30759870</v>
      </c>
      <c r="D186" s="8">
        <f t="shared" si="11"/>
        <v>992253.87096774194</v>
      </c>
      <c r="E186" s="9">
        <v>66.930000000000007</v>
      </c>
      <c r="F186" s="2">
        <v>1176</v>
      </c>
      <c r="G186" s="8">
        <v>3761602</v>
      </c>
      <c r="H186" s="12">
        <f t="shared" si="12"/>
        <v>1.1393275301956407</v>
      </c>
      <c r="I186" s="8">
        <v>20473194</v>
      </c>
      <c r="J186" s="8">
        <f t="shared" si="13"/>
        <v>660425.61290322582</v>
      </c>
      <c r="K186" s="13">
        <f t="shared" si="14"/>
        <v>0.66558129146839695</v>
      </c>
      <c r="L186" s="2">
        <v>430</v>
      </c>
      <c r="M186" s="13">
        <f t="shared" si="15"/>
        <v>0.36564625850340138</v>
      </c>
      <c r="N186" s="27"/>
      <c r="O186" s="11">
        <v>379110</v>
      </c>
      <c r="P186" s="8">
        <f t="shared" si="16"/>
        <v>12229.354838709678</v>
      </c>
      <c r="Q186" s="9">
        <f t="shared" si="17"/>
        <v>81.13705784600775</v>
      </c>
      <c r="R186" s="8">
        <v>975000</v>
      </c>
    </row>
    <row r="187" spans="1:18" x14ac:dyDescent="0.25">
      <c r="A187" s="3">
        <v>38869</v>
      </c>
      <c r="B187" s="2">
        <v>30</v>
      </c>
      <c r="C187" s="8">
        <v>29523817</v>
      </c>
      <c r="D187" s="8">
        <f t="shared" si="11"/>
        <v>984127.23333333328</v>
      </c>
      <c r="E187" s="9">
        <v>67.14</v>
      </c>
      <c r="F187" s="2">
        <v>1177</v>
      </c>
      <c r="G187" s="8">
        <v>3736702</v>
      </c>
      <c r="H187" s="12">
        <f t="shared" si="12"/>
        <v>1.1449057794949145</v>
      </c>
      <c r="I187" s="8">
        <v>19511599</v>
      </c>
      <c r="J187" s="8">
        <f t="shared" si="13"/>
        <v>650386.6333333333</v>
      </c>
      <c r="K187" s="13">
        <f t="shared" si="14"/>
        <v>0.66087657297157754</v>
      </c>
      <c r="L187" s="2">
        <v>432</v>
      </c>
      <c r="M187" s="13">
        <f t="shared" si="15"/>
        <v>0.36703483432455397</v>
      </c>
      <c r="N187" s="27"/>
      <c r="O187" s="11">
        <v>360629</v>
      </c>
      <c r="P187" s="8">
        <f t="shared" si="16"/>
        <v>12020.966666666667</v>
      </c>
      <c r="Q187" s="9">
        <f t="shared" si="17"/>
        <v>81.867561954252153</v>
      </c>
      <c r="R187" s="8">
        <v>975000</v>
      </c>
    </row>
    <row r="188" spans="1:18" x14ac:dyDescent="0.25">
      <c r="A188" s="3">
        <v>38899</v>
      </c>
      <c r="B188" s="2">
        <v>31</v>
      </c>
      <c r="C188" s="8">
        <v>30468449</v>
      </c>
      <c r="D188" s="8">
        <f t="shared" si="11"/>
        <v>982853.19354838715</v>
      </c>
      <c r="E188" s="9">
        <v>70.540000000000006</v>
      </c>
      <c r="F188" s="2">
        <v>1174</v>
      </c>
      <c r="G188" s="8">
        <v>3387553</v>
      </c>
      <c r="H188" s="12">
        <f t="shared" si="12"/>
        <v>1.1250901373425755</v>
      </c>
      <c r="I188" s="8">
        <v>20201283</v>
      </c>
      <c r="J188" s="8">
        <f t="shared" si="13"/>
        <v>651654.29032258061</v>
      </c>
      <c r="K188" s="13">
        <f t="shared" si="14"/>
        <v>0.66302301767969873</v>
      </c>
      <c r="L188" s="2">
        <v>437</v>
      </c>
      <c r="M188" s="13">
        <f t="shared" si="15"/>
        <v>0.37223168654173766</v>
      </c>
      <c r="N188" s="27"/>
      <c r="O188" s="11">
        <v>362764</v>
      </c>
      <c r="P188" s="8">
        <f t="shared" si="16"/>
        <v>11702.064516129032</v>
      </c>
      <c r="Q188" s="9">
        <f t="shared" si="17"/>
        <v>83.989726102920912</v>
      </c>
      <c r="R188" s="8">
        <v>975000</v>
      </c>
    </row>
    <row r="189" spans="1:18" x14ac:dyDescent="0.25">
      <c r="A189" s="3">
        <v>38930</v>
      </c>
      <c r="B189" s="2">
        <v>31</v>
      </c>
      <c r="C189" s="8">
        <v>30418815</v>
      </c>
      <c r="D189" s="8">
        <f t="shared" si="11"/>
        <v>981252.09677419357</v>
      </c>
      <c r="E189" s="9">
        <v>69.23</v>
      </c>
      <c r="F189" s="2">
        <v>1175</v>
      </c>
      <c r="G189" s="8">
        <v>3236870</v>
      </c>
      <c r="H189" s="12">
        <f t="shared" si="12"/>
        <v>1.1190816183315799</v>
      </c>
      <c r="I189" s="8">
        <v>20405078</v>
      </c>
      <c r="J189" s="8">
        <f t="shared" si="13"/>
        <v>658228.32258064521</v>
      </c>
      <c r="K189" s="13">
        <f t="shared" si="14"/>
        <v>0.67080450043829776</v>
      </c>
      <c r="L189" s="2">
        <v>438</v>
      </c>
      <c r="M189" s="13">
        <f t="shared" si="15"/>
        <v>0.37276595744680852</v>
      </c>
      <c r="N189" s="27"/>
      <c r="O189" s="14">
        <v>356208</v>
      </c>
      <c r="P189" s="8">
        <f t="shared" si="16"/>
        <v>11490.58064516129</v>
      </c>
      <c r="Q189" s="9">
        <f t="shared" si="17"/>
        <v>85.396215132731442</v>
      </c>
      <c r="R189" s="8">
        <v>975000</v>
      </c>
    </row>
    <row r="190" spans="1:18" x14ac:dyDescent="0.25">
      <c r="A190" s="3">
        <v>38961</v>
      </c>
      <c r="B190" s="2">
        <v>30</v>
      </c>
      <c r="C190" s="8">
        <v>29587257</v>
      </c>
      <c r="D190" s="8">
        <f t="shared" si="11"/>
        <v>986241.9</v>
      </c>
      <c r="E190" s="9">
        <v>60.38</v>
      </c>
      <c r="F190" s="2">
        <v>1175</v>
      </c>
      <c r="G190" s="8">
        <v>3402866</v>
      </c>
      <c r="H190" s="12">
        <f t="shared" si="12"/>
        <v>1.1299578057782593</v>
      </c>
      <c r="I190" s="8">
        <v>19587713</v>
      </c>
      <c r="J190" s="8">
        <f t="shared" si="13"/>
        <v>652923.76666666672</v>
      </c>
      <c r="K190" s="13">
        <f t="shared" si="14"/>
        <v>0.66203207009017428</v>
      </c>
      <c r="L190" s="2">
        <v>438</v>
      </c>
      <c r="M190" s="13">
        <f t="shared" si="15"/>
        <v>0.37276595744680852</v>
      </c>
      <c r="N190" s="27"/>
      <c r="O190" s="14">
        <v>350086</v>
      </c>
      <c r="P190" s="8">
        <f t="shared" si="16"/>
        <v>11669.533333333333</v>
      </c>
      <c r="Q190" s="9">
        <f t="shared" si="17"/>
        <v>84.514253640534051</v>
      </c>
      <c r="R190" s="8">
        <v>975000</v>
      </c>
    </row>
    <row r="191" spans="1:18" x14ac:dyDescent="0.25">
      <c r="A191" s="3">
        <v>38991</v>
      </c>
      <c r="B191" s="2">
        <v>31</v>
      </c>
      <c r="C191" s="8">
        <v>30607974</v>
      </c>
      <c r="D191" s="8">
        <f t="shared" si="11"/>
        <v>987354</v>
      </c>
      <c r="E191" s="9">
        <v>55.34</v>
      </c>
      <c r="F191" s="2">
        <v>1168</v>
      </c>
      <c r="G191" s="8">
        <v>3591778</v>
      </c>
      <c r="H191" s="12">
        <f t="shared" si="12"/>
        <v>1.1329490650719294</v>
      </c>
      <c r="I191" s="8">
        <v>20292319</v>
      </c>
      <c r="J191" s="8">
        <f t="shared" si="13"/>
        <v>654590.93548387091</v>
      </c>
      <c r="K191" s="13">
        <f t="shared" si="14"/>
        <v>0.66297491627508565</v>
      </c>
      <c r="L191" s="2">
        <v>439</v>
      </c>
      <c r="M191" s="13">
        <f t="shared" si="15"/>
        <v>0.37585616438356162</v>
      </c>
      <c r="N191" s="27"/>
      <c r="O191" s="14">
        <v>361984</v>
      </c>
      <c r="P191" s="8">
        <f t="shared" si="16"/>
        <v>11676.903225806451</v>
      </c>
      <c r="Q191" s="9">
        <f t="shared" si="17"/>
        <v>84.556151653111741</v>
      </c>
      <c r="R191" s="8">
        <v>975000</v>
      </c>
    </row>
    <row r="192" spans="1:18" x14ac:dyDescent="0.25">
      <c r="A192" s="3">
        <v>39022</v>
      </c>
      <c r="B192" s="2">
        <v>30</v>
      </c>
      <c r="C192" s="8">
        <v>29487663</v>
      </c>
      <c r="D192" s="8">
        <f t="shared" si="11"/>
        <v>982922.1</v>
      </c>
      <c r="E192" s="9">
        <v>55.2333</v>
      </c>
      <c r="F192" s="2">
        <v>1166</v>
      </c>
      <c r="G192" s="8">
        <v>3317022</v>
      </c>
      <c r="H192" s="12">
        <f t="shared" si="12"/>
        <v>1.1267459211258906</v>
      </c>
      <c r="I192" s="8">
        <v>19731407</v>
      </c>
      <c r="J192" s="8">
        <f t="shared" si="13"/>
        <v>657713.56666666665</v>
      </c>
      <c r="K192" s="13">
        <f t="shared" si="14"/>
        <v>0.66914109130994881</v>
      </c>
      <c r="L192" s="2">
        <v>439</v>
      </c>
      <c r="M192" s="13">
        <f t="shared" si="15"/>
        <v>0.37650085763293312</v>
      </c>
      <c r="N192" s="27"/>
      <c r="O192" s="14">
        <v>345260</v>
      </c>
      <c r="P192" s="8">
        <f t="shared" si="16"/>
        <v>11508.666666666666</v>
      </c>
      <c r="Q192" s="9">
        <f t="shared" si="17"/>
        <v>85.407122168800328</v>
      </c>
      <c r="R192" s="8">
        <v>975000</v>
      </c>
    </row>
    <row r="193" spans="1:18" x14ac:dyDescent="0.25">
      <c r="A193" s="3">
        <v>39052</v>
      </c>
      <c r="B193" s="2">
        <v>31</v>
      </c>
      <c r="C193" s="8">
        <v>30341375</v>
      </c>
      <c r="D193" s="8">
        <f t="shared" si="11"/>
        <v>978754.03225806449</v>
      </c>
      <c r="E193" s="9">
        <v>58.32</v>
      </c>
      <c r="F193" s="2">
        <v>1166</v>
      </c>
      <c r="G193" s="8">
        <v>3268178</v>
      </c>
      <c r="H193" s="12">
        <f t="shared" si="12"/>
        <v>1.1207163675571821</v>
      </c>
      <c r="I193" s="8">
        <v>20570930</v>
      </c>
      <c r="J193" s="8">
        <f t="shared" si="13"/>
        <v>663578.38709677418</v>
      </c>
      <c r="K193" s="13">
        <f t="shared" si="14"/>
        <v>0.67798278753022889</v>
      </c>
      <c r="L193" s="2">
        <v>439</v>
      </c>
      <c r="M193" s="13">
        <f t="shared" si="15"/>
        <v>0.37650085763293312</v>
      </c>
      <c r="N193" s="27"/>
      <c r="O193" s="14">
        <v>355462</v>
      </c>
      <c r="P193" s="8">
        <f t="shared" si="16"/>
        <v>11466.516129032258</v>
      </c>
      <c r="Q193" s="9">
        <f t="shared" si="17"/>
        <v>85.357576899921796</v>
      </c>
      <c r="R193" s="8">
        <v>975000</v>
      </c>
    </row>
    <row r="194" spans="1:18" x14ac:dyDescent="0.25">
      <c r="A194" s="3">
        <v>39083</v>
      </c>
      <c r="B194" s="2">
        <v>31</v>
      </c>
      <c r="C194" s="8">
        <v>29780226</v>
      </c>
      <c r="D194" s="8">
        <f t="shared" si="11"/>
        <v>960652.45161290327</v>
      </c>
      <c r="E194" s="9">
        <v>50.781999999999996</v>
      </c>
      <c r="F194" s="2">
        <v>1166</v>
      </c>
      <c r="G194" s="8">
        <v>3069571</v>
      </c>
      <c r="H194" s="12">
        <f t="shared" si="12"/>
        <v>1.1149193458565505</v>
      </c>
      <c r="I194" s="8">
        <v>20138415</v>
      </c>
      <c r="J194" s="8">
        <f t="shared" si="13"/>
        <v>649626.29032258061</v>
      </c>
      <c r="K194" s="13">
        <f t="shared" si="14"/>
        <v>0.67623445839531238</v>
      </c>
      <c r="L194" s="2">
        <v>446</v>
      </c>
      <c r="M194" s="13">
        <f t="shared" si="15"/>
        <v>0.38250428816466553</v>
      </c>
      <c r="N194" s="27"/>
      <c r="O194" s="11">
        <v>345555</v>
      </c>
      <c r="P194" s="8">
        <f t="shared" si="16"/>
        <v>11146.935483870968</v>
      </c>
      <c r="Q194" s="9">
        <f t="shared" si="17"/>
        <v>86.180856882406573</v>
      </c>
      <c r="R194" s="8">
        <v>990000</v>
      </c>
    </row>
    <row r="195" spans="1:18" x14ac:dyDescent="0.25">
      <c r="A195" s="3">
        <v>39114</v>
      </c>
      <c r="B195" s="2">
        <v>28</v>
      </c>
      <c r="C195" s="8">
        <v>26613788</v>
      </c>
      <c r="D195" s="8">
        <f t="shared" si="11"/>
        <v>950492.42857142852</v>
      </c>
      <c r="E195" s="9">
        <v>55.62</v>
      </c>
      <c r="F195" s="2">
        <v>1166</v>
      </c>
      <c r="G195" s="8">
        <v>2292607</v>
      </c>
      <c r="H195" s="12">
        <f t="shared" si="12"/>
        <v>1.0942638024033455</v>
      </c>
      <c r="I195" s="8">
        <v>18300534</v>
      </c>
      <c r="J195" s="8">
        <f t="shared" si="13"/>
        <v>653590.5</v>
      </c>
      <c r="K195" s="13">
        <f t="shared" si="14"/>
        <v>0.68763356798363318</v>
      </c>
      <c r="L195" s="2">
        <v>446</v>
      </c>
      <c r="M195" s="13">
        <f t="shared" si="15"/>
        <v>0.38250428816466553</v>
      </c>
      <c r="N195" s="27"/>
      <c r="O195" s="11">
        <v>307883</v>
      </c>
      <c r="P195" s="8">
        <f t="shared" si="16"/>
        <v>10995.821428571429</v>
      </c>
      <c r="Q195" s="9">
        <f t="shared" si="17"/>
        <v>86.441239042103646</v>
      </c>
      <c r="R195" s="8">
        <v>990000</v>
      </c>
    </row>
    <row r="196" spans="1:18" x14ac:dyDescent="0.25">
      <c r="A196" s="3">
        <v>39142</v>
      </c>
      <c r="B196" s="2">
        <v>31</v>
      </c>
      <c r="C196" s="8">
        <v>30663925</v>
      </c>
      <c r="D196" s="8">
        <f t="shared" si="11"/>
        <v>989158.87096774194</v>
      </c>
      <c r="E196" s="9">
        <v>56.895200000000003</v>
      </c>
      <c r="F196" s="2">
        <v>1166</v>
      </c>
      <c r="G196" s="8">
        <v>2985654</v>
      </c>
      <c r="H196" s="12">
        <f t="shared" si="12"/>
        <v>1.1078699605188489</v>
      </c>
      <c r="I196" s="8">
        <v>21186547</v>
      </c>
      <c r="J196" s="8">
        <f t="shared" si="13"/>
        <v>683437</v>
      </c>
      <c r="K196" s="13">
        <f t="shared" si="14"/>
        <v>0.69092743345804553</v>
      </c>
      <c r="L196" s="2">
        <v>446</v>
      </c>
      <c r="M196" s="13">
        <f t="shared" si="15"/>
        <v>0.38250428816466553</v>
      </c>
      <c r="N196" s="27"/>
      <c r="O196" s="11">
        <v>364700</v>
      </c>
      <c r="P196" s="8">
        <f t="shared" si="16"/>
        <v>11764.516129032258</v>
      </c>
      <c r="Q196" s="9">
        <f t="shared" si="17"/>
        <v>84.079860159034823</v>
      </c>
      <c r="R196" s="8">
        <v>990000</v>
      </c>
    </row>
    <row r="197" spans="1:18" x14ac:dyDescent="0.25">
      <c r="A197" s="3">
        <v>39173</v>
      </c>
      <c r="B197" s="2">
        <v>30</v>
      </c>
      <c r="C197" s="8">
        <v>29698814</v>
      </c>
      <c r="D197" s="8">
        <f t="shared" si="11"/>
        <v>989960.46666666667</v>
      </c>
      <c r="E197" s="9">
        <v>60.325000000000003</v>
      </c>
      <c r="F197" s="2">
        <v>1166</v>
      </c>
      <c r="G197" s="8">
        <v>2673696</v>
      </c>
      <c r="H197" s="12">
        <f t="shared" si="12"/>
        <v>1.0989337400857973</v>
      </c>
      <c r="I197" s="8">
        <v>20596674</v>
      </c>
      <c r="J197" s="8">
        <f t="shared" si="13"/>
        <v>686555.8</v>
      </c>
      <c r="K197" s="13">
        <f t="shared" si="14"/>
        <v>0.69351840110517549</v>
      </c>
      <c r="L197" s="2">
        <v>446</v>
      </c>
      <c r="M197" s="13">
        <f t="shared" si="15"/>
        <v>0.38250428816466553</v>
      </c>
      <c r="N197" s="27"/>
      <c r="O197" s="14">
        <v>354380</v>
      </c>
      <c r="P197" s="8">
        <f t="shared" si="16"/>
        <v>11812.666666666666</v>
      </c>
      <c r="Q197" s="9">
        <f t="shared" si="17"/>
        <v>83.804994638523624</v>
      </c>
      <c r="R197" s="8">
        <v>990000</v>
      </c>
    </row>
    <row r="198" spans="1:18" x14ac:dyDescent="0.25">
      <c r="A198" s="3">
        <v>39203</v>
      </c>
      <c r="B198" s="2">
        <v>31</v>
      </c>
      <c r="C198" s="8">
        <v>30966361</v>
      </c>
      <c r="D198" s="8">
        <f t="shared" si="11"/>
        <v>998914.87096774194</v>
      </c>
      <c r="E198" s="9">
        <v>55.62</v>
      </c>
      <c r="F198" s="2">
        <v>1151</v>
      </c>
      <c r="G198" s="8">
        <v>2953911</v>
      </c>
      <c r="H198" s="12">
        <f t="shared" si="12"/>
        <v>1.1054499338686905</v>
      </c>
      <c r="I198" s="8">
        <v>21490586</v>
      </c>
      <c r="J198" s="8">
        <f t="shared" si="13"/>
        <v>693244.70967741939</v>
      </c>
      <c r="K198" s="13">
        <f t="shared" si="14"/>
        <v>0.69399778682422519</v>
      </c>
      <c r="L198" s="2">
        <v>446</v>
      </c>
      <c r="M198" s="13">
        <f t="shared" si="15"/>
        <v>0.38748913987836664</v>
      </c>
      <c r="N198" s="27"/>
      <c r="O198" s="14">
        <v>360528</v>
      </c>
      <c r="P198" s="8">
        <f t="shared" si="16"/>
        <v>11629.935483870968</v>
      </c>
      <c r="Q198" s="9">
        <f t="shared" si="17"/>
        <v>85.891694958505298</v>
      </c>
      <c r="R198" s="8">
        <v>990000</v>
      </c>
    </row>
    <row r="199" spans="1:18" x14ac:dyDescent="0.25">
      <c r="A199" s="3">
        <v>39234</v>
      </c>
      <c r="B199" s="2">
        <v>30</v>
      </c>
      <c r="C199" s="8">
        <v>29248348</v>
      </c>
      <c r="D199" s="8">
        <f t="shared" si="11"/>
        <v>974944.93333333335</v>
      </c>
      <c r="E199" s="9">
        <v>63.5</v>
      </c>
      <c r="F199" s="2">
        <v>1150</v>
      </c>
      <c r="G199" s="8">
        <v>2584731</v>
      </c>
      <c r="H199" s="12">
        <f t="shared" si="12"/>
        <v>1.0969384986290496</v>
      </c>
      <c r="I199" s="8">
        <v>20365998</v>
      </c>
      <c r="J199" s="8">
        <f t="shared" si="13"/>
        <v>678866.6</v>
      </c>
      <c r="K199" s="13">
        <f t="shared" si="14"/>
        <v>0.69631276269005005</v>
      </c>
      <c r="L199" s="2">
        <v>447</v>
      </c>
      <c r="M199" s="13">
        <f t="shared" si="15"/>
        <v>0.38869565217391305</v>
      </c>
      <c r="N199" s="27"/>
      <c r="O199" s="14">
        <v>336791</v>
      </c>
      <c r="P199" s="8">
        <f t="shared" si="16"/>
        <v>11226.366666666667</v>
      </c>
      <c r="Q199" s="9">
        <f t="shared" si="17"/>
        <v>86.844209019837223</v>
      </c>
      <c r="R199" s="8">
        <v>990000</v>
      </c>
    </row>
    <row r="200" spans="1:18" x14ac:dyDescent="0.25">
      <c r="A200" s="3">
        <v>39264</v>
      </c>
      <c r="B200" s="2">
        <v>31</v>
      </c>
      <c r="C200" s="8">
        <v>30094823</v>
      </c>
      <c r="D200" s="8">
        <f t="shared" si="11"/>
        <v>970800.74193548388</v>
      </c>
      <c r="E200" s="9">
        <v>70.22</v>
      </c>
      <c r="F200" s="2">
        <v>1156</v>
      </c>
      <c r="G200" s="8">
        <v>2758342</v>
      </c>
      <c r="H200" s="12">
        <f t="shared" si="12"/>
        <v>1.1009033313395384</v>
      </c>
      <c r="I200" s="8">
        <v>20951396</v>
      </c>
      <c r="J200" s="8">
        <f t="shared" si="13"/>
        <v>675851.48387096776</v>
      </c>
      <c r="K200" s="13">
        <f t="shared" si="14"/>
        <v>0.6961794060061427</v>
      </c>
      <c r="L200" s="2">
        <v>448</v>
      </c>
      <c r="M200" s="13">
        <f t="shared" si="15"/>
        <v>0.38754325259515571</v>
      </c>
      <c r="N200" s="27"/>
      <c r="O200" s="14">
        <v>350349</v>
      </c>
      <c r="P200" s="8">
        <f t="shared" si="16"/>
        <v>11301.58064516129</v>
      </c>
      <c r="Q200" s="9">
        <f t="shared" si="17"/>
        <v>85.8995544442827</v>
      </c>
      <c r="R200" s="8">
        <v>990000</v>
      </c>
    </row>
    <row r="201" spans="1:18" x14ac:dyDescent="0.25">
      <c r="A201" s="3">
        <v>39295</v>
      </c>
      <c r="B201" s="2">
        <v>31</v>
      </c>
      <c r="C201" s="8">
        <v>30432579</v>
      </c>
      <c r="D201" s="8">
        <f t="shared" si="11"/>
        <v>981696.09677419357</v>
      </c>
      <c r="E201" s="9">
        <v>68.48</v>
      </c>
      <c r="F201" s="2">
        <v>1155</v>
      </c>
      <c r="G201" s="8">
        <v>2741619</v>
      </c>
      <c r="H201" s="12">
        <f t="shared" si="12"/>
        <v>1.0990077267093665</v>
      </c>
      <c r="I201" s="8">
        <v>21207883</v>
      </c>
      <c r="J201" s="8">
        <f t="shared" si="13"/>
        <v>684125.25806451612</v>
      </c>
      <c r="K201" s="13">
        <f t="shared" si="14"/>
        <v>0.69688089859226188</v>
      </c>
      <c r="L201" s="2">
        <v>448</v>
      </c>
      <c r="M201" s="13">
        <f t="shared" si="15"/>
        <v>0.38787878787878788</v>
      </c>
      <c r="N201" s="27"/>
      <c r="O201" s="14">
        <v>351585</v>
      </c>
      <c r="P201" s="8">
        <f t="shared" si="16"/>
        <v>11341.451612903225</v>
      </c>
      <c r="Q201" s="9">
        <f t="shared" si="17"/>
        <v>86.558240539272163</v>
      </c>
      <c r="R201" s="8">
        <v>990000</v>
      </c>
    </row>
    <row r="202" spans="1:18" x14ac:dyDescent="0.25">
      <c r="A202" s="3">
        <v>39326</v>
      </c>
      <c r="B202" s="2">
        <v>30</v>
      </c>
      <c r="C202" s="8">
        <v>29240207</v>
      </c>
      <c r="D202" s="8">
        <f t="shared" si="11"/>
        <v>974673.56666666665</v>
      </c>
      <c r="E202" s="9">
        <v>75.19</v>
      </c>
      <c r="F202" s="2">
        <v>1158</v>
      </c>
      <c r="G202" s="8">
        <v>2800962</v>
      </c>
      <c r="H202" s="12">
        <f t="shared" si="12"/>
        <v>1.1059395606795883</v>
      </c>
      <c r="I202" s="8">
        <v>20159495</v>
      </c>
      <c r="J202" s="8">
        <f t="shared" si="13"/>
        <v>671983.16666666663</v>
      </c>
      <c r="K202" s="13">
        <f t="shared" si="14"/>
        <v>0.68944433259313109</v>
      </c>
      <c r="L202" s="2">
        <v>450</v>
      </c>
      <c r="M202" s="13">
        <f t="shared" si="15"/>
        <v>0.38860103626943004</v>
      </c>
      <c r="N202" s="27"/>
      <c r="O202" s="14">
        <v>338701</v>
      </c>
      <c r="P202" s="8">
        <f t="shared" si="16"/>
        <v>11290.033333333333</v>
      </c>
      <c r="Q202" s="9">
        <f t="shared" si="17"/>
        <v>86.330441894178051</v>
      </c>
      <c r="R202" s="8">
        <v>990000</v>
      </c>
    </row>
    <row r="203" spans="1:18" x14ac:dyDescent="0.25">
      <c r="A203" s="3">
        <v>39356</v>
      </c>
      <c r="B203" s="2">
        <v>31</v>
      </c>
      <c r="C203" s="8">
        <v>29982502</v>
      </c>
      <c r="D203" s="8">
        <f t="shared" si="11"/>
        <v>967177.48387096776</v>
      </c>
      <c r="E203" s="9">
        <v>81.86</v>
      </c>
      <c r="F203" s="2">
        <v>1160</v>
      </c>
      <c r="G203" s="8">
        <v>3002743</v>
      </c>
      <c r="H203" s="12">
        <f t="shared" si="12"/>
        <v>1.1112961387090226</v>
      </c>
      <c r="I203" s="8">
        <v>20497843</v>
      </c>
      <c r="J203" s="8">
        <f t="shared" si="13"/>
        <v>661220.74193548388</v>
      </c>
      <c r="K203" s="13">
        <f t="shared" si="14"/>
        <v>0.68366018953321506</v>
      </c>
      <c r="L203" s="2">
        <v>451</v>
      </c>
      <c r="M203" s="13">
        <f t="shared" si="15"/>
        <v>0.38879310344827589</v>
      </c>
      <c r="N203" s="27"/>
      <c r="O203" s="14">
        <v>352974</v>
      </c>
      <c r="P203" s="8">
        <f t="shared" si="16"/>
        <v>11386.258064516129</v>
      </c>
      <c r="Q203" s="9">
        <f t="shared" si="17"/>
        <v>84.942522678724217</v>
      </c>
      <c r="R203" s="8">
        <v>990000</v>
      </c>
    </row>
    <row r="204" spans="1:18" x14ac:dyDescent="0.25">
      <c r="A204" s="3">
        <v>39387</v>
      </c>
      <c r="B204" s="2">
        <v>30</v>
      </c>
      <c r="C204" s="8">
        <v>29530384</v>
      </c>
      <c r="D204" s="8">
        <f t="shared" si="11"/>
        <v>984346.1333333333</v>
      </c>
      <c r="E204" s="9">
        <v>91.16</v>
      </c>
      <c r="F204" s="2">
        <v>1159</v>
      </c>
      <c r="G204" s="8">
        <v>2968694</v>
      </c>
      <c r="H204" s="12">
        <f t="shared" si="12"/>
        <v>1.1117660058527903</v>
      </c>
      <c r="I204" s="8">
        <v>20312901</v>
      </c>
      <c r="J204" s="8">
        <f t="shared" si="13"/>
        <v>677096.7</v>
      </c>
      <c r="K204" s="13">
        <f t="shared" si="14"/>
        <v>0.6878644382003295</v>
      </c>
      <c r="L204" s="2">
        <v>452</v>
      </c>
      <c r="M204" s="13">
        <f t="shared" si="15"/>
        <v>0.3899913718723037</v>
      </c>
      <c r="N204" s="27"/>
      <c r="O204" s="14">
        <v>342559</v>
      </c>
      <c r="P204" s="8">
        <f t="shared" si="16"/>
        <v>11418.633333333333</v>
      </c>
      <c r="Q204" s="9">
        <f t="shared" si="17"/>
        <v>86.205249314716582</v>
      </c>
      <c r="R204" s="8">
        <v>990000</v>
      </c>
    </row>
    <row r="205" spans="1:18" x14ac:dyDescent="0.25">
      <c r="A205" s="3">
        <v>39417</v>
      </c>
      <c r="B205" s="2">
        <v>31</v>
      </c>
      <c r="C205" s="8">
        <v>30446448</v>
      </c>
      <c r="D205" s="8">
        <f t="shared" si="11"/>
        <v>982143.48387096776</v>
      </c>
      <c r="E205" s="9">
        <v>87.71</v>
      </c>
      <c r="F205" s="2">
        <v>1131</v>
      </c>
      <c r="G205" s="8">
        <v>2778014</v>
      </c>
      <c r="H205" s="12">
        <f t="shared" si="12"/>
        <v>1.1004037308363748</v>
      </c>
      <c r="I205" s="8">
        <v>21276507</v>
      </c>
      <c r="J205" s="8">
        <f t="shared" si="13"/>
        <v>686338.93548387091</v>
      </c>
      <c r="K205" s="13">
        <f t="shared" si="14"/>
        <v>0.69881737928838206</v>
      </c>
      <c r="L205" s="2">
        <v>443</v>
      </c>
      <c r="M205" s="13">
        <f t="shared" si="15"/>
        <v>0.39168877099911581</v>
      </c>
      <c r="N205" s="27"/>
      <c r="O205" s="14">
        <v>346770</v>
      </c>
      <c r="P205" s="8">
        <f t="shared" si="16"/>
        <v>11186.129032258064</v>
      </c>
      <c r="Q205" s="9">
        <f t="shared" si="17"/>
        <v>87.800121117743757</v>
      </c>
      <c r="R205" s="8">
        <v>990000</v>
      </c>
    </row>
    <row r="206" spans="1:18" x14ac:dyDescent="0.25">
      <c r="A206" s="3">
        <v>39448</v>
      </c>
      <c r="B206" s="2">
        <v>31</v>
      </c>
      <c r="C206" s="8">
        <v>30392737</v>
      </c>
      <c r="D206" s="8">
        <f t="shared" si="11"/>
        <v>980410.87096774194</v>
      </c>
      <c r="E206" s="9">
        <v>89.45</v>
      </c>
      <c r="F206" s="2">
        <v>1122</v>
      </c>
      <c r="G206" s="8">
        <v>2825330</v>
      </c>
      <c r="H206" s="12">
        <f t="shared" si="12"/>
        <v>1.1024880577270106</v>
      </c>
      <c r="I206" s="8">
        <v>21243428</v>
      </c>
      <c r="J206" s="8">
        <f t="shared" si="13"/>
        <v>685271.87096774194</v>
      </c>
      <c r="K206" s="13">
        <f t="shared" si="14"/>
        <v>0.69896396629234148</v>
      </c>
      <c r="L206" s="2">
        <v>447</v>
      </c>
      <c r="M206" s="13">
        <f t="shared" si="15"/>
        <v>0.39839572192513367</v>
      </c>
      <c r="N206" s="27"/>
      <c r="O206" s="14">
        <v>353143</v>
      </c>
      <c r="P206" s="8">
        <f t="shared" si="16"/>
        <v>11391.709677419354</v>
      </c>
      <c r="Q206" s="9">
        <f t="shared" si="17"/>
        <v>86.063540831900966</v>
      </c>
      <c r="R206" s="8">
        <v>960000</v>
      </c>
    </row>
    <row r="207" spans="1:18" x14ac:dyDescent="0.25">
      <c r="A207" s="3">
        <v>39479</v>
      </c>
      <c r="B207" s="2">
        <v>29</v>
      </c>
      <c r="C207" s="8">
        <v>28824235</v>
      </c>
      <c r="D207" s="8">
        <f t="shared" si="11"/>
        <v>993939.13793103443</v>
      </c>
      <c r="E207" s="9">
        <v>90.89</v>
      </c>
      <c r="F207" s="2">
        <v>1122</v>
      </c>
      <c r="G207" s="8">
        <v>2733647</v>
      </c>
      <c r="H207" s="12">
        <f t="shared" si="12"/>
        <v>1.1047752162580622</v>
      </c>
      <c r="I207" s="8">
        <v>20147668</v>
      </c>
      <c r="J207" s="8">
        <f t="shared" si="13"/>
        <v>694747.17241379316</v>
      </c>
      <c r="K207" s="13">
        <f t="shared" si="14"/>
        <v>0.69898361569699941</v>
      </c>
      <c r="L207" s="2">
        <v>447</v>
      </c>
      <c r="M207" s="13">
        <f t="shared" si="15"/>
        <v>0.39839572192513367</v>
      </c>
      <c r="N207" s="27"/>
      <c r="O207" s="14">
        <v>330506</v>
      </c>
      <c r="P207" s="8">
        <f t="shared" si="16"/>
        <v>11396.758620689656</v>
      </c>
      <c r="Q207" s="9">
        <f t="shared" si="17"/>
        <v>87.212440923916645</v>
      </c>
      <c r="R207" s="8">
        <v>960000</v>
      </c>
    </row>
    <row r="208" spans="1:18" x14ac:dyDescent="0.25">
      <c r="A208" s="3">
        <v>39508</v>
      </c>
      <c r="B208" s="2">
        <v>31</v>
      </c>
      <c r="C208" s="8">
        <v>30544744</v>
      </c>
      <c r="D208" s="8">
        <f t="shared" si="11"/>
        <v>985314.32258064521</v>
      </c>
      <c r="E208" s="9">
        <v>101.14</v>
      </c>
      <c r="F208" s="2">
        <v>1124</v>
      </c>
      <c r="G208" s="8">
        <v>2457503</v>
      </c>
      <c r="H208" s="12">
        <f t="shared" si="12"/>
        <v>1.087495350646936</v>
      </c>
      <c r="I208" s="8">
        <v>21729946</v>
      </c>
      <c r="J208" s="8">
        <f t="shared" si="13"/>
        <v>700966</v>
      </c>
      <c r="K208" s="13">
        <f t="shared" si="14"/>
        <v>0.71141359050185526</v>
      </c>
      <c r="L208" s="2">
        <v>448</v>
      </c>
      <c r="M208" s="13">
        <f t="shared" si="15"/>
        <v>0.39857651245551601</v>
      </c>
      <c r="N208" s="27"/>
      <c r="O208" s="14">
        <v>337903</v>
      </c>
      <c r="P208" s="8">
        <f t="shared" si="16"/>
        <v>10900.096774193549</v>
      </c>
      <c r="Q208" s="9">
        <f t="shared" si="17"/>
        <v>90.395006851078563</v>
      </c>
      <c r="R208" s="8">
        <v>960000</v>
      </c>
    </row>
    <row r="209" spans="1:18" x14ac:dyDescent="0.25">
      <c r="A209" s="3">
        <v>39539</v>
      </c>
      <c r="B209" s="2">
        <v>30</v>
      </c>
      <c r="C209" s="8">
        <v>29573225</v>
      </c>
      <c r="D209" s="8">
        <f t="shared" si="11"/>
        <v>985774.16666666663</v>
      </c>
      <c r="E209" s="9">
        <v>108.56</v>
      </c>
      <c r="F209" s="2">
        <v>1123</v>
      </c>
      <c r="G209" s="8">
        <v>2240088</v>
      </c>
      <c r="H209" s="12">
        <f t="shared" si="12"/>
        <v>1.0819550277013574</v>
      </c>
      <c r="I209" s="8">
        <v>21208804</v>
      </c>
      <c r="J209" s="8">
        <f t="shared" si="13"/>
        <v>706960.1333333333</v>
      </c>
      <c r="K209" s="13">
        <f t="shared" si="14"/>
        <v>0.71716236561957647</v>
      </c>
      <c r="L209" s="2">
        <v>455</v>
      </c>
      <c r="M209" s="13">
        <f t="shared" si="15"/>
        <v>0.40516473731077474</v>
      </c>
      <c r="N209" s="27"/>
      <c r="O209" s="14">
        <v>334716</v>
      </c>
      <c r="P209" s="8">
        <f t="shared" si="16"/>
        <v>11157.2</v>
      </c>
      <c r="Q209" s="9">
        <f t="shared" si="17"/>
        <v>88.35318598453614</v>
      </c>
      <c r="R209" s="8">
        <v>960000</v>
      </c>
    </row>
    <row r="210" spans="1:18" x14ac:dyDescent="0.25">
      <c r="A210" s="3">
        <v>39569</v>
      </c>
      <c r="B210" s="2">
        <v>31</v>
      </c>
      <c r="C210" s="8">
        <v>31513252</v>
      </c>
      <c r="D210" s="8">
        <f t="shared" si="11"/>
        <v>1016556.5161290322</v>
      </c>
      <c r="E210" s="9">
        <v>121.65</v>
      </c>
      <c r="F210" s="2">
        <v>1133</v>
      </c>
      <c r="G210" s="8">
        <v>2810784</v>
      </c>
      <c r="H210" s="12">
        <f t="shared" si="12"/>
        <v>1.0979283035869947</v>
      </c>
      <c r="I210" s="8">
        <v>22438637</v>
      </c>
      <c r="J210" s="8">
        <f t="shared" si="13"/>
        <v>723827</v>
      </c>
      <c r="K210" s="13">
        <f t="shared" si="14"/>
        <v>0.71203812922893517</v>
      </c>
      <c r="L210" s="2">
        <v>460</v>
      </c>
      <c r="M210" s="13">
        <f t="shared" si="15"/>
        <v>0.4060017652250662</v>
      </c>
      <c r="N210" s="27"/>
      <c r="O210" s="14">
        <v>346859</v>
      </c>
      <c r="P210" s="8">
        <f t="shared" si="16"/>
        <v>11189</v>
      </c>
      <c r="Q210" s="9">
        <f t="shared" si="17"/>
        <v>90.853205481189761</v>
      </c>
      <c r="R210" s="8">
        <v>960000</v>
      </c>
    </row>
    <row r="211" spans="1:18" x14ac:dyDescent="0.25">
      <c r="A211" s="3">
        <v>39600</v>
      </c>
      <c r="B211" s="2">
        <v>30</v>
      </c>
      <c r="C211" s="8">
        <v>30449608</v>
      </c>
      <c r="D211" s="8">
        <f t="shared" si="11"/>
        <v>1014986.9333333333</v>
      </c>
      <c r="E211" s="9">
        <v>130.57</v>
      </c>
      <c r="F211" s="2">
        <v>1135</v>
      </c>
      <c r="G211" s="8">
        <v>2859915</v>
      </c>
      <c r="H211" s="12">
        <f t="shared" si="12"/>
        <v>1.1036588192554371</v>
      </c>
      <c r="I211" s="8">
        <v>21475302</v>
      </c>
      <c r="J211" s="8">
        <f t="shared" si="13"/>
        <v>715843.4</v>
      </c>
      <c r="K211" s="13">
        <f t="shared" si="14"/>
        <v>0.70527351288069129</v>
      </c>
      <c r="L211" s="2">
        <v>464</v>
      </c>
      <c r="M211" s="13">
        <f t="shared" si="15"/>
        <v>0.40881057268722465</v>
      </c>
      <c r="N211" s="27"/>
      <c r="O211" s="14">
        <v>333557</v>
      </c>
      <c r="P211" s="8">
        <f t="shared" si="16"/>
        <v>11118.566666666668</v>
      </c>
      <c r="Q211" s="9">
        <f t="shared" si="17"/>
        <v>91.287570040502814</v>
      </c>
      <c r="R211" s="8">
        <v>960000</v>
      </c>
    </row>
    <row r="212" spans="1:18" x14ac:dyDescent="0.25">
      <c r="A212" s="3">
        <v>39630</v>
      </c>
      <c r="B212" s="2">
        <v>31</v>
      </c>
      <c r="C212" s="8">
        <v>31809581</v>
      </c>
      <c r="D212" s="8">
        <f t="shared" si="11"/>
        <v>1026115.5161290322</v>
      </c>
      <c r="E212" s="9">
        <v>130.41</v>
      </c>
      <c r="F212" s="2">
        <v>1137</v>
      </c>
      <c r="G212" s="8">
        <v>2950741</v>
      </c>
      <c r="H212" s="12">
        <f t="shared" si="12"/>
        <v>1.1022473876288861</v>
      </c>
      <c r="I212" s="8">
        <v>22190190</v>
      </c>
      <c r="J212" s="8">
        <f t="shared" si="13"/>
        <v>715812.58064516133</v>
      </c>
      <c r="K212" s="13">
        <f t="shared" si="14"/>
        <v>0.69759453920502756</v>
      </c>
      <c r="L212" s="2">
        <v>464</v>
      </c>
      <c r="M212" s="13">
        <f t="shared" si="15"/>
        <v>0.40809146877748459</v>
      </c>
      <c r="N212" s="27"/>
      <c r="O212" s="14">
        <v>343756</v>
      </c>
      <c r="P212" s="8">
        <f t="shared" si="16"/>
        <v>11088.903225806451</v>
      </c>
      <c r="Q212" s="9">
        <f t="shared" si="17"/>
        <v>92.535347746657521</v>
      </c>
      <c r="R212" s="8">
        <v>960000</v>
      </c>
    </row>
    <row r="213" spans="1:18" x14ac:dyDescent="0.25">
      <c r="A213" s="3">
        <v>39661</v>
      </c>
      <c r="B213" s="2">
        <v>31</v>
      </c>
      <c r="C213" s="8">
        <v>31899116</v>
      </c>
      <c r="D213" s="8">
        <f t="shared" si="11"/>
        <v>1029003.7419354839</v>
      </c>
      <c r="E213" s="9">
        <v>112.72</v>
      </c>
      <c r="F213" s="2">
        <v>1157</v>
      </c>
      <c r="G213" s="8">
        <v>2638317</v>
      </c>
      <c r="H213" s="12">
        <f t="shared" si="12"/>
        <v>1.0901655829698977</v>
      </c>
      <c r="I213" s="8">
        <v>22566944</v>
      </c>
      <c r="J213" s="8">
        <f t="shared" si="13"/>
        <v>727965.93548387091</v>
      </c>
      <c r="K213" s="13">
        <f t="shared" si="14"/>
        <v>0.70744731609490374</v>
      </c>
      <c r="L213" s="2">
        <v>474</v>
      </c>
      <c r="M213" s="13">
        <f t="shared" si="15"/>
        <v>0.40968020743301642</v>
      </c>
      <c r="N213" s="27"/>
      <c r="O213" s="14">
        <v>339883</v>
      </c>
      <c r="P213" s="8">
        <f t="shared" si="16"/>
        <v>10963.967741935483</v>
      </c>
      <c r="Q213" s="9">
        <f t="shared" si="17"/>
        <v>93.853225963051997</v>
      </c>
      <c r="R213" s="8">
        <v>960000</v>
      </c>
    </row>
    <row r="214" spans="1:18" x14ac:dyDescent="0.25">
      <c r="A214" s="3">
        <v>39692</v>
      </c>
      <c r="B214" s="2">
        <v>30</v>
      </c>
      <c r="C214" s="8">
        <v>25873295</v>
      </c>
      <c r="D214" s="8">
        <f t="shared" ref="D214:D277" si="18">+C214/B214</f>
        <v>862443.16666666663</v>
      </c>
      <c r="E214" s="9">
        <v>100.38</v>
      </c>
      <c r="F214" s="2">
        <v>1154</v>
      </c>
      <c r="G214" s="8">
        <v>1266980</v>
      </c>
      <c r="H214" s="12">
        <f t="shared" ref="H214:H277" si="19">+(C214)/(C214-G214)</f>
        <v>1.0514900341639941</v>
      </c>
      <c r="I214" s="8">
        <v>18186207</v>
      </c>
      <c r="J214" s="8">
        <f t="shared" ref="J214:J277" si="20">+I214/B214</f>
        <v>606206.9</v>
      </c>
      <c r="K214" s="13">
        <f t="shared" ref="K214:K277" si="21">+I214/C214</f>
        <v>0.70289489606948008</v>
      </c>
      <c r="L214" s="2">
        <v>475</v>
      </c>
      <c r="M214" s="13">
        <f t="shared" ref="M214:M277" si="22">+L214/F214</f>
        <v>0.41161178509532065</v>
      </c>
      <c r="N214" s="27"/>
      <c r="O214" s="14">
        <v>271757</v>
      </c>
      <c r="P214" s="8">
        <f t="shared" si="16"/>
        <v>9058.5666666666675</v>
      </c>
      <c r="Q214" s="9">
        <f t="shared" si="17"/>
        <v>95.207464757117563</v>
      </c>
      <c r="R214" s="8">
        <v>960000</v>
      </c>
    </row>
    <row r="215" spans="1:18" x14ac:dyDescent="0.25">
      <c r="A215" s="3">
        <v>39722</v>
      </c>
      <c r="B215" s="2">
        <v>31</v>
      </c>
      <c r="C215" s="8">
        <v>31576351</v>
      </c>
      <c r="D215" s="8">
        <f t="shared" si="18"/>
        <v>1018591.9677419355</v>
      </c>
      <c r="E215" s="9">
        <v>72.75</v>
      </c>
      <c r="F215" s="2">
        <v>1154</v>
      </c>
      <c r="G215" s="8">
        <v>2744093</v>
      </c>
      <c r="H215" s="12">
        <f t="shared" si="19"/>
        <v>1.0951744050015091</v>
      </c>
      <c r="I215" s="8">
        <v>22206503</v>
      </c>
      <c r="J215" s="8">
        <f t="shared" si="20"/>
        <v>716338.80645161285</v>
      </c>
      <c r="K215" s="13">
        <f t="shared" si="21"/>
        <v>0.70326374950671156</v>
      </c>
      <c r="L215" s="2">
        <v>477</v>
      </c>
      <c r="M215" s="13">
        <f t="shared" si="22"/>
        <v>0.41334488734835356</v>
      </c>
      <c r="N215" s="27"/>
      <c r="O215" s="14">
        <v>346119</v>
      </c>
      <c r="P215" s="8">
        <f t="shared" si="16"/>
        <v>11165.129032258064</v>
      </c>
      <c r="Q215" s="9">
        <f t="shared" si="17"/>
        <v>91.229753350726199</v>
      </c>
      <c r="R215" s="8">
        <v>960000</v>
      </c>
    </row>
    <row r="216" spans="1:18" x14ac:dyDescent="0.25">
      <c r="A216" s="3">
        <v>39753</v>
      </c>
      <c r="B216" s="2">
        <v>30</v>
      </c>
      <c r="C216" s="8">
        <v>30845019</v>
      </c>
      <c r="D216" s="8">
        <f t="shared" si="18"/>
        <v>1028167.3</v>
      </c>
      <c r="E216" s="9">
        <v>53.54</v>
      </c>
      <c r="F216" s="2">
        <v>1155</v>
      </c>
      <c r="G216" s="8">
        <v>2223581</v>
      </c>
      <c r="H216" s="12">
        <f t="shared" si="19"/>
        <v>1.0776893529947726</v>
      </c>
      <c r="I216" s="8">
        <v>22130542</v>
      </c>
      <c r="J216" s="8">
        <f t="shared" si="20"/>
        <v>737684.73333333328</v>
      </c>
      <c r="K216" s="13">
        <f t="shared" si="21"/>
        <v>0.71747538881399298</v>
      </c>
      <c r="L216" s="2">
        <v>478</v>
      </c>
      <c r="M216" s="13">
        <f t="shared" si="22"/>
        <v>0.41385281385281386</v>
      </c>
      <c r="N216" s="27"/>
      <c r="O216" s="14">
        <v>332301</v>
      </c>
      <c r="P216" s="8">
        <f t="shared" si="16"/>
        <v>11076.7</v>
      </c>
      <c r="Q216" s="9">
        <f t="shared" si="17"/>
        <v>92.822528370363017</v>
      </c>
      <c r="R216" s="8">
        <v>960000</v>
      </c>
    </row>
    <row r="217" spans="1:18" x14ac:dyDescent="0.25">
      <c r="A217" s="3">
        <v>39783</v>
      </c>
      <c r="B217" s="2">
        <v>31</v>
      </c>
      <c r="C217" s="8">
        <v>31130395</v>
      </c>
      <c r="D217" s="8">
        <f t="shared" si="18"/>
        <v>1004206.2903225806</v>
      </c>
      <c r="E217" s="9">
        <v>37.185499999999998</v>
      </c>
      <c r="F217" s="2">
        <v>1155</v>
      </c>
      <c r="G217" s="8">
        <v>2188808</v>
      </c>
      <c r="H217" s="12">
        <f t="shared" si="19"/>
        <v>1.0756284719286471</v>
      </c>
      <c r="I217" s="8">
        <v>22397697</v>
      </c>
      <c r="J217" s="8">
        <f t="shared" si="20"/>
        <v>722506.3548387097</v>
      </c>
      <c r="K217" s="13">
        <f t="shared" si="21"/>
        <v>0.71948001302264231</v>
      </c>
      <c r="L217" s="2">
        <v>478</v>
      </c>
      <c r="M217" s="13">
        <f t="shared" si="22"/>
        <v>0.41385281385281386</v>
      </c>
      <c r="N217" s="27"/>
      <c r="O217" s="14">
        <v>336292</v>
      </c>
      <c r="P217" s="8">
        <f t="shared" si="16"/>
        <v>10848.129032258064</v>
      </c>
      <c r="Q217" s="9">
        <f t="shared" si="17"/>
        <v>92.569537782641277</v>
      </c>
      <c r="R217" s="8">
        <v>960000</v>
      </c>
    </row>
    <row r="218" spans="1:18" x14ac:dyDescent="0.25">
      <c r="A218" s="3">
        <v>39814</v>
      </c>
      <c r="B218" s="2">
        <v>31</v>
      </c>
      <c r="C218" s="8">
        <v>30674920</v>
      </c>
      <c r="D218" s="8">
        <f t="shared" si="18"/>
        <v>989513.54838709673</v>
      </c>
      <c r="E218" s="9">
        <v>37.950000000000003</v>
      </c>
      <c r="F218" s="2">
        <v>1157</v>
      </c>
      <c r="G218" s="8">
        <v>2383960</v>
      </c>
      <c r="H218" s="12">
        <f t="shared" si="19"/>
        <v>1.0842657866682501</v>
      </c>
      <c r="I218" s="8">
        <v>21767759</v>
      </c>
      <c r="J218" s="8">
        <f t="shared" si="20"/>
        <v>702185.77419354836</v>
      </c>
      <c r="K218" s="13">
        <f t="shared" si="21"/>
        <v>0.70962724597162763</v>
      </c>
      <c r="L218" s="2">
        <v>478</v>
      </c>
      <c r="M218" s="13">
        <f t="shared" si="22"/>
        <v>0.41313742437337941</v>
      </c>
      <c r="N218" s="27"/>
      <c r="O218" s="14">
        <v>335966</v>
      </c>
      <c r="P218" s="8">
        <f t="shared" ref="P218:P281" si="23">+O218/B218</f>
        <v>10837.612903225807</v>
      </c>
      <c r="Q218" s="9">
        <f t="shared" ref="Q218:Q281" si="24">+(D218-(N218/B218))/P218</f>
        <v>91.303643821100934</v>
      </c>
      <c r="R218" s="8">
        <v>1000000</v>
      </c>
    </row>
    <row r="219" spans="1:18" ht="12.75" customHeight="1" x14ac:dyDescent="0.25">
      <c r="A219" s="3">
        <v>39845</v>
      </c>
      <c r="B219" s="2">
        <v>28</v>
      </c>
      <c r="C219" s="8">
        <v>27340117</v>
      </c>
      <c r="D219" s="8">
        <f t="shared" si="18"/>
        <v>976432.75</v>
      </c>
      <c r="E219" s="9">
        <v>35.380000000000003</v>
      </c>
      <c r="F219" s="2">
        <v>1157</v>
      </c>
      <c r="G219" s="8">
        <v>1997690</v>
      </c>
      <c r="H219" s="12">
        <f t="shared" si="19"/>
        <v>1.0788278881103219</v>
      </c>
      <c r="I219" s="8">
        <v>19509987</v>
      </c>
      <c r="J219" s="8">
        <f t="shared" si="20"/>
        <v>696785.25</v>
      </c>
      <c r="K219" s="13">
        <f t="shared" si="21"/>
        <v>0.71360290813678673</v>
      </c>
      <c r="L219" s="2">
        <v>478</v>
      </c>
      <c r="M219" s="13">
        <f t="shared" si="22"/>
        <v>0.41313742437337941</v>
      </c>
      <c r="N219" s="27"/>
      <c r="O219" s="14">
        <v>297963</v>
      </c>
      <c r="P219" s="8">
        <f t="shared" si="23"/>
        <v>10641.535714285714</v>
      </c>
      <c r="Q219" s="9">
        <f t="shared" si="24"/>
        <v>91.756751677221672</v>
      </c>
      <c r="R219" s="8">
        <v>1000000</v>
      </c>
    </row>
    <row r="220" spans="1:18" x14ac:dyDescent="0.25">
      <c r="A220" s="3">
        <v>39873</v>
      </c>
      <c r="B220" s="2">
        <v>31</v>
      </c>
      <c r="C220" s="8">
        <v>30277297</v>
      </c>
      <c r="D220" s="8">
        <f t="shared" si="18"/>
        <v>976687</v>
      </c>
      <c r="E220" s="9">
        <v>44.11</v>
      </c>
      <c r="F220" s="2">
        <v>1149</v>
      </c>
      <c r="G220" s="8">
        <v>2340766</v>
      </c>
      <c r="H220" s="12">
        <f t="shared" si="19"/>
        <v>1.0837887137812494</v>
      </c>
      <c r="I220" s="8">
        <v>21544759</v>
      </c>
      <c r="J220" s="8">
        <f t="shared" si="20"/>
        <v>694992.22580645164</v>
      </c>
      <c r="K220" s="13">
        <f t="shared" si="21"/>
        <v>0.7115813211463361</v>
      </c>
      <c r="L220" s="2">
        <v>478</v>
      </c>
      <c r="M220" s="13">
        <f t="shared" si="22"/>
        <v>0.41601392515230634</v>
      </c>
      <c r="N220" s="27"/>
      <c r="O220" s="14">
        <v>326600</v>
      </c>
      <c r="P220" s="8">
        <f t="shared" si="23"/>
        <v>10535.483870967742</v>
      </c>
      <c r="Q220" s="9">
        <f t="shared" si="24"/>
        <v>92.704522351500302</v>
      </c>
      <c r="R220" s="8">
        <v>1000000</v>
      </c>
    </row>
    <row r="221" spans="1:18" x14ac:dyDescent="0.25">
      <c r="A221" s="3">
        <v>39904</v>
      </c>
      <c r="B221" s="2">
        <v>30</v>
      </c>
      <c r="C221" s="8">
        <v>29271967</v>
      </c>
      <c r="D221" s="8">
        <f t="shared" si="18"/>
        <v>975732.23333333328</v>
      </c>
      <c r="E221" s="9">
        <v>46.43</v>
      </c>
      <c r="F221" s="2">
        <v>1148</v>
      </c>
      <c r="G221" s="8">
        <v>2483996</v>
      </c>
      <c r="H221" s="12">
        <f t="shared" si="19"/>
        <v>1.0927280382676239</v>
      </c>
      <c r="I221" s="8">
        <v>20670014</v>
      </c>
      <c r="J221" s="8">
        <f t="shared" si="20"/>
        <v>689000.46666666667</v>
      </c>
      <c r="K221" s="13">
        <f t="shared" si="21"/>
        <v>0.70613683050407916</v>
      </c>
      <c r="L221" s="2">
        <v>478</v>
      </c>
      <c r="M221" s="13">
        <f t="shared" si="22"/>
        <v>0.41637630662020908</v>
      </c>
      <c r="N221" s="27"/>
      <c r="O221" s="14">
        <v>312400</v>
      </c>
      <c r="P221" s="8">
        <f t="shared" si="23"/>
        <v>10413.333333333334</v>
      </c>
      <c r="Q221" s="9">
        <f t="shared" si="24"/>
        <v>93.700278489116513</v>
      </c>
      <c r="R221" s="8">
        <v>1000000</v>
      </c>
    </row>
    <row r="222" spans="1:18" x14ac:dyDescent="0.25">
      <c r="A222" s="3">
        <v>39934</v>
      </c>
      <c r="B222" s="2">
        <v>31</v>
      </c>
      <c r="C222" s="8">
        <v>29950100</v>
      </c>
      <c r="D222" s="8">
        <f t="shared" si="18"/>
        <v>966132.25806451612</v>
      </c>
      <c r="E222" s="9">
        <v>55.27</v>
      </c>
      <c r="F222" s="2">
        <v>1148</v>
      </c>
      <c r="G222" s="8">
        <v>2702921</v>
      </c>
      <c r="H222" s="12">
        <f t="shared" si="19"/>
        <v>1.099200030946323</v>
      </c>
      <c r="I222" s="8">
        <v>20841379</v>
      </c>
      <c r="J222" s="8">
        <f t="shared" si="20"/>
        <v>672302.54838709673</v>
      </c>
      <c r="K222" s="13">
        <f t="shared" si="21"/>
        <v>0.69587009726177873</v>
      </c>
      <c r="L222" s="2">
        <v>478</v>
      </c>
      <c r="M222" s="13">
        <f t="shared" si="22"/>
        <v>0.41637630662020908</v>
      </c>
      <c r="N222" s="27"/>
      <c r="O222" s="14">
        <v>316596</v>
      </c>
      <c r="P222" s="8">
        <f t="shared" si="23"/>
        <v>10212.774193548386</v>
      </c>
      <c r="Q222" s="9">
        <f t="shared" si="24"/>
        <v>94.600373978193034</v>
      </c>
      <c r="R222" s="8">
        <v>1000000</v>
      </c>
    </row>
    <row r="223" spans="1:18" x14ac:dyDescent="0.25">
      <c r="A223" s="3">
        <v>39965</v>
      </c>
      <c r="B223" s="2">
        <v>30</v>
      </c>
      <c r="C223" s="8">
        <v>29032011</v>
      </c>
      <c r="D223" s="8">
        <f t="shared" si="18"/>
        <v>967733.7</v>
      </c>
      <c r="E223" s="9">
        <v>65.7</v>
      </c>
      <c r="F223" s="2">
        <v>1147</v>
      </c>
      <c r="G223" s="8">
        <v>2575739</v>
      </c>
      <c r="H223" s="12">
        <f t="shared" si="19"/>
        <v>1.0973583504130893</v>
      </c>
      <c r="I223" s="8">
        <v>20283389</v>
      </c>
      <c r="J223" s="8">
        <f t="shared" si="20"/>
        <v>676112.96666666667</v>
      </c>
      <c r="K223" s="13">
        <f t="shared" si="21"/>
        <v>0.69865601111821019</v>
      </c>
      <c r="L223" s="2">
        <v>477</v>
      </c>
      <c r="M223" s="13">
        <f t="shared" si="22"/>
        <v>0.41586748038360943</v>
      </c>
      <c r="N223" s="27"/>
      <c r="O223" s="14">
        <v>309343</v>
      </c>
      <c r="P223" s="8">
        <f t="shared" si="23"/>
        <v>10311.433333333332</v>
      </c>
      <c r="Q223" s="9">
        <f t="shared" si="24"/>
        <v>93.850551006487947</v>
      </c>
      <c r="R223" s="8">
        <v>1000000</v>
      </c>
    </row>
    <row r="224" spans="1:18" x14ac:dyDescent="0.25">
      <c r="A224" s="3">
        <v>39995</v>
      </c>
      <c r="B224" s="2">
        <v>31</v>
      </c>
      <c r="C224" s="8">
        <v>30231764</v>
      </c>
      <c r="D224" s="8">
        <f t="shared" si="18"/>
        <v>975218.19354838715</v>
      </c>
      <c r="E224" s="9">
        <v>60.41</v>
      </c>
      <c r="F224" s="2">
        <v>1147</v>
      </c>
      <c r="G224" s="8">
        <v>2991155</v>
      </c>
      <c r="H224" s="12">
        <f t="shared" si="19"/>
        <v>1.1098049973846034</v>
      </c>
      <c r="I224" s="8">
        <v>20876439</v>
      </c>
      <c r="J224" s="8">
        <f t="shared" si="20"/>
        <v>673433.51612903224</v>
      </c>
      <c r="K224" s="13">
        <f t="shared" si="21"/>
        <v>0.69054650598622036</v>
      </c>
      <c r="L224" s="2">
        <v>477</v>
      </c>
      <c r="M224" s="13">
        <f t="shared" si="22"/>
        <v>0.41586748038360943</v>
      </c>
      <c r="N224" s="27"/>
      <c r="O224" s="14">
        <v>316669</v>
      </c>
      <c r="P224" s="8">
        <f t="shared" si="23"/>
        <v>10215.129032258064</v>
      </c>
      <c r="Q224" s="9">
        <f t="shared" si="24"/>
        <v>95.46802497244758</v>
      </c>
      <c r="R224" s="8">
        <v>1000000</v>
      </c>
    </row>
    <row r="225" spans="1:18" x14ac:dyDescent="0.25">
      <c r="A225" s="3">
        <v>40026</v>
      </c>
      <c r="B225" s="2">
        <v>31</v>
      </c>
      <c r="C225" s="8">
        <v>30154739</v>
      </c>
      <c r="D225" s="8">
        <f t="shared" si="18"/>
        <v>972733.51612903224</v>
      </c>
      <c r="E225" s="9">
        <v>67.05</v>
      </c>
      <c r="F225" s="2">
        <v>1146</v>
      </c>
      <c r="G225" s="8">
        <v>2835135</v>
      </c>
      <c r="H225" s="12">
        <f t="shared" si="19"/>
        <v>1.103776577435017</v>
      </c>
      <c r="I225" s="8">
        <v>21013346</v>
      </c>
      <c r="J225" s="8">
        <f t="shared" si="20"/>
        <v>677849.87096774194</v>
      </c>
      <c r="K225" s="13">
        <f t="shared" si="21"/>
        <v>0.69685053483633208</v>
      </c>
      <c r="L225" s="2">
        <v>479</v>
      </c>
      <c r="M225" s="13">
        <f t="shared" si="22"/>
        <v>0.41797556719022688</v>
      </c>
      <c r="N225" s="27"/>
      <c r="O225" s="14">
        <v>315522</v>
      </c>
      <c r="P225" s="8">
        <f t="shared" si="23"/>
        <v>10178.129032258064</v>
      </c>
      <c r="Q225" s="9">
        <f t="shared" si="24"/>
        <v>95.570955432584739</v>
      </c>
      <c r="R225" s="8">
        <v>1000000</v>
      </c>
    </row>
    <row r="226" spans="1:18" x14ac:dyDescent="0.25">
      <c r="A226" s="3">
        <v>40057</v>
      </c>
      <c r="B226" s="2">
        <v>30</v>
      </c>
      <c r="C226" s="8">
        <v>29074681</v>
      </c>
      <c r="D226" s="8">
        <f t="shared" si="18"/>
        <v>969156.03333333333</v>
      </c>
      <c r="E226" s="9">
        <v>65.23</v>
      </c>
      <c r="F226" s="2">
        <v>1145</v>
      </c>
      <c r="G226" s="8">
        <v>2521523</v>
      </c>
      <c r="H226" s="12">
        <f t="shared" si="19"/>
        <v>1.0949613224912833</v>
      </c>
      <c r="I226" s="8">
        <v>20480585</v>
      </c>
      <c r="J226" s="8">
        <f t="shared" si="20"/>
        <v>682686.16666666663</v>
      </c>
      <c r="K226" s="13">
        <f t="shared" si="21"/>
        <v>0.70441305959642342</v>
      </c>
      <c r="L226" s="2">
        <v>480</v>
      </c>
      <c r="M226" s="13">
        <f t="shared" si="22"/>
        <v>0.41921397379912662</v>
      </c>
      <c r="N226" s="27"/>
      <c r="O226" s="14">
        <v>306131</v>
      </c>
      <c r="P226" s="8">
        <f t="shared" si="23"/>
        <v>10204.366666666667</v>
      </c>
      <c r="Q226" s="9">
        <f t="shared" si="24"/>
        <v>94.974638308436582</v>
      </c>
      <c r="R226" s="8">
        <v>1000000</v>
      </c>
    </row>
    <row r="227" spans="1:18" x14ac:dyDescent="0.25">
      <c r="A227" s="3">
        <v>40087</v>
      </c>
      <c r="B227" s="2">
        <v>31</v>
      </c>
      <c r="C227" s="8">
        <v>29362767</v>
      </c>
      <c r="D227" s="8">
        <f t="shared" si="18"/>
        <v>947186.03225806449</v>
      </c>
      <c r="E227" s="9">
        <v>71.67</v>
      </c>
      <c r="F227" s="2">
        <v>1145</v>
      </c>
      <c r="G227" s="8">
        <v>2625506</v>
      </c>
      <c r="H227" s="12">
        <f t="shared" si="19"/>
        <v>1.0981965205785289</v>
      </c>
      <c r="I227" s="8">
        <v>20466320</v>
      </c>
      <c r="J227" s="8">
        <f t="shared" si="20"/>
        <v>660203.87096774194</v>
      </c>
      <c r="K227" s="13">
        <f t="shared" si="21"/>
        <v>0.69701605437934377</v>
      </c>
      <c r="L227" s="2">
        <v>480</v>
      </c>
      <c r="M227" s="13">
        <f t="shared" si="22"/>
        <v>0.41921397379912662</v>
      </c>
      <c r="N227" s="27"/>
      <c r="O227" s="14">
        <v>310812</v>
      </c>
      <c r="P227" s="8">
        <f t="shared" si="23"/>
        <v>10026.193548387097</v>
      </c>
      <c r="Q227" s="9">
        <f t="shared" si="24"/>
        <v>94.471149762557431</v>
      </c>
      <c r="R227" s="8">
        <v>1000000</v>
      </c>
    </row>
    <row r="228" spans="1:18" x14ac:dyDescent="0.25">
      <c r="A228" s="3">
        <v>40118</v>
      </c>
      <c r="B228" s="2">
        <v>30</v>
      </c>
      <c r="C228" s="8">
        <v>28479821</v>
      </c>
      <c r="D228" s="8">
        <f t="shared" si="18"/>
        <v>949327.3666666667</v>
      </c>
      <c r="E228" s="9">
        <v>73.67</v>
      </c>
      <c r="F228" s="2">
        <v>1144</v>
      </c>
      <c r="G228" s="8">
        <v>1976130</v>
      </c>
      <c r="H228" s="12">
        <f t="shared" si="19"/>
        <v>1.0745605583765672</v>
      </c>
      <c r="I228" s="8">
        <v>20507965</v>
      </c>
      <c r="J228" s="8">
        <f t="shared" si="20"/>
        <v>683598.83333333337</v>
      </c>
      <c r="K228" s="13">
        <f t="shared" si="21"/>
        <v>0.72008756656160167</v>
      </c>
      <c r="L228" s="2">
        <v>481</v>
      </c>
      <c r="M228" s="13">
        <f t="shared" si="22"/>
        <v>0.42045454545454547</v>
      </c>
      <c r="N228" s="27"/>
      <c r="O228" s="14">
        <v>306149</v>
      </c>
      <c r="P228" s="8">
        <f t="shared" si="23"/>
        <v>10204.966666666667</v>
      </c>
      <c r="Q228" s="9">
        <f t="shared" si="24"/>
        <v>93.026013477097749</v>
      </c>
      <c r="R228" s="8">
        <v>1000000</v>
      </c>
    </row>
    <row r="229" spans="1:18" x14ac:dyDescent="0.25">
      <c r="A229" s="3">
        <v>40148</v>
      </c>
      <c r="B229" s="2">
        <v>31</v>
      </c>
      <c r="C229" s="8">
        <v>29709207</v>
      </c>
      <c r="D229" s="8">
        <f t="shared" si="18"/>
        <v>958361.51612903224</v>
      </c>
      <c r="E229" s="9">
        <v>70.569999999999993</v>
      </c>
      <c r="F229" s="2">
        <v>1141</v>
      </c>
      <c r="G229" s="8">
        <v>2331345</v>
      </c>
      <c r="H229" s="12">
        <f t="shared" si="19"/>
        <v>1.0851543849552605</v>
      </c>
      <c r="I229" s="8">
        <v>21201517</v>
      </c>
      <c r="J229" s="8">
        <f t="shared" si="20"/>
        <v>683919.90322580643</v>
      </c>
      <c r="K229" s="13">
        <f t="shared" si="21"/>
        <v>0.71363456453078666</v>
      </c>
      <c r="L229" s="2">
        <v>480</v>
      </c>
      <c r="M229" s="13">
        <f t="shared" si="22"/>
        <v>0.42068361086765993</v>
      </c>
      <c r="N229" s="27"/>
      <c r="O229" s="14">
        <v>315956</v>
      </c>
      <c r="P229" s="8">
        <f t="shared" si="23"/>
        <v>10192.129032258064</v>
      </c>
      <c r="Q229" s="9">
        <f t="shared" si="24"/>
        <v>94.02957057311778</v>
      </c>
      <c r="R229" s="8">
        <v>1000000</v>
      </c>
    </row>
    <row r="230" spans="1:18" x14ac:dyDescent="0.25">
      <c r="A230" s="3">
        <v>40179</v>
      </c>
      <c r="B230" s="2">
        <v>31</v>
      </c>
      <c r="C230" s="8">
        <v>29624821</v>
      </c>
      <c r="D230" s="8">
        <f t="shared" si="18"/>
        <v>955639.38709677418</v>
      </c>
      <c r="E230" s="9">
        <v>74.069999999999993</v>
      </c>
      <c r="F230" s="2">
        <v>1141</v>
      </c>
      <c r="G230" s="8">
        <v>2236618</v>
      </c>
      <c r="H230" s="12">
        <f t="shared" si="19"/>
        <v>1.0816635541952131</v>
      </c>
      <c r="I230" s="8">
        <v>21185001</v>
      </c>
      <c r="J230" s="8">
        <f t="shared" si="20"/>
        <v>683387.12903225806</v>
      </c>
      <c r="K230" s="13">
        <f t="shared" si="21"/>
        <v>0.7151098398197917</v>
      </c>
      <c r="L230" s="2">
        <v>479</v>
      </c>
      <c r="M230" s="13">
        <f t="shared" si="22"/>
        <v>0.41980718667835232</v>
      </c>
      <c r="N230" s="27"/>
      <c r="O230" s="14">
        <v>309927</v>
      </c>
      <c r="P230" s="8">
        <f t="shared" si="23"/>
        <v>9997.645161290322</v>
      </c>
      <c r="Q230" s="9">
        <f t="shared" si="24"/>
        <v>95.586447776411873</v>
      </c>
      <c r="R230" s="8">
        <v>975000</v>
      </c>
    </row>
    <row r="231" spans="1:18" x14ac:dyDescent="0.25">
      <c r="A231" s="3">
        <v>40210</v>
      </c>
      <c r="B231" s="2">
        <v>28</v>
      </c>
      <c r="C231" s="8">
        <v>24760942</v>
      </c>
      <c r="D231" s="8">
        <f t="shared" si="18"/>
        <v>884319.35714285716</v>
      </c>
      <c r="E231" s="9">
        <v>72.28</v>
      </c>
      <c r="F231" s="2">
        <v>1141</v>
      </c>
      <c r="G231" s="8">
        <v>1283318</v>
      </c>
      <c r="H231" s="12">
        <f t="shared" si="19"/>
        <v>1.0546613234797524</v>
      </c>
      <c r="I231" s="8">
        <v>17879413</v>
      </c>
      <c r="J231" s="8">
        <f t="shared" si="20"/>
        <v>638550.46428571432</v>
      </c>
      <c r="K231" s="13">
        <f t="shared" si="21"/>
        <v>0.72208129238378738</v>
      </c>
      <c r="L231" s="2">
        <v>482</v>
      </c>
      <c r="M231" s="13">
        <f t="shared" si="22"/>
        <v>0.42243645924627521</v>
      </c>
      <c r="N231" s="27"/>
      <c r="O231" s="14">
        <v>256985</v>
      </c>
      <c r="P231" s="8">
        <f t="shared" si="23"/>
        <v>9178.0357142857138</v>
      </c>
      <c r="Q231" s="9">
        <f t="shared" si="24"/>
        <v>96.351701461174784</v>
      </c>
      <c r="R231" s="8">
        <v>975000</v>
      </c>
    </row>
    <row r="232" spans="1:18" x14ac:dyDescent="0.25">
      <c r="A232" s="3">
        <v>40238</v>
      </c>
      <c r="B232" s="2">
        <v>31</v>
      </c>
      <c r="C232" s="8">
        <v>30073373</v>
      </c>
      <c r="D232" s="8">
        <f t="shared" si="18"/>
        <v>970108.80645161285</v>
      </c>
      <c r="E232" s="9">
        <v>77.150000000000006</v>
      </c>
      <c r="F232" s="2">
        <v>1141</v>
      </c>
      <c r="G232" s="8">
        <v>2521452</v>
      </c>
      <c r="H232" s="12">
        <f t="shared" si="19"/>
        <v>1.0915163773879868</v>
      </c>
      <c r="I232" s="8">
        <v>21497035</v>
      </c>
      <c r="J232" s="8">
        <f t="shared" si="20"/>
        <v>693452.74193548388</v>
      </c>
      <c r="K232" s="13">
        <f t="shared" si="21"/>
        <v>0.71481955150158916</v>
      </c>
      <c r="L232" s="2">
        <v>486</v>
      </c>
      <c r="M232" s="13">
        <f t="shared" si="22"/>
        <v>0.42594215600350571</v>
      </c>
      <c r="N232" s="27"/>
      <c r="O232" s="14">
        <v>312657</v>
      </c>
      <c r="P232" s="8">
        <f t="shared" si="23"/>
        <v>10085.709677419354</v>
      </c>
      <c r="Q232" s="9">
        <f t="shared" si="24"/>
        <v>96.186469517714301</v>
      </c>
      <c r="R232" s="8">
        <v>975000</v>
      </c>
    </row>
    <row r="233" spans="1:18" x14ac:dyDescent="0.25">
      <c r="A233" s="3">
        <v>40269</v>
      </c>
      <c r="B233" s="2">
        <v>30</v>
      </c>
      <c r="C233" s="8">
        <v>29480242</v>
      </c>
      <c r="D233" s="8">
        <f t="shared" si="18"/>
        <v>982674.73333333328</v>
      </c>
      <c r="E233" s="9">
        <v>80.5</v>
      </c>
      <c r="F233" s="2">
        <v>1139</v>
      </c>
      <c r="G233" s="8">
        <v>2162729</v>
      </c>
      <c r="H233" s="12">
        <f t="shared" si="19"/>
        <v>1.0791700547557166</v>
      </c>
      <c r="I233" s="8">
        <v>21443019</v>
      </c>
      <c r="J233" s="8">
        <f t="shared" si="20"/>
        <v>714767.3</v>
      </c>
      <c r="K233" s="13">
        <f t="shared" si="21"/>
        <v>0.72736916474430569</v>
      </c>
      <c r="L233" s="2">
        <v>488</v>
      </c>
      <c r="M233" s="13">
        <f t="shared" si="22"/>
        <v>0.42844600526777876</v>
      </c>
      <c r="N233" s="27"/>
      <c r="O233" s="14">
        <v>307118</v>
      </c>
      <c r="P233" s="8">
        <f t="shared" si="23"/>
        <v>10237.266666666666</v>
      </c>
      <c r="Q233" s="9">
        <f t="shared" si="24"/>
        <v>95.989951744931915</v>
      </c>
      <c r="R233" s="8">
        <v>975000</v>
      </c>
    </row>
    <row r="234" spans="1:18" x14ac:dyDescent="0.25">
      <c r="A234" s="3">
        <v>40299</v>
      </c>
      <c r="B234" s="2">
        <v>31</v>
      </c>
      <c r="C234" s="8">
        <v>30789487</v>
      </c>
      <c r="D234" s="8">
        <f t="shared" si="18"/>
        <v>993209.25806451612</v>
      </c>
      <c r="E234" s="9">
        <v>70.510000000000005</v>
      </c>
      <c r="F234" s="2">
        <v>1138</v>
      </c>
      <c r="G234" s="8">
        <v>2668135</v>
      </c>
      <c r="H234" s="12">
        <f t="shared" si="19"/>
        <v>1.094879328703684</v>
      </c>
      <c r="I234" s="8">
        <v>22099298</v>
      </c>
      <c r="J234" s="8">
        <f t="shared" si="20"/>
        <v>712880.58064516133</v>
      </c>
      <c r="K234" s="13">
        <f t="shared" si="21"/>
        <v>0.71775466736422078</v>
      </c>
      <c r="L234" s="2">
        <v>489</v>
      </c>
      <c r="M234" s="13">
        <f t="shared" si="22"/>
        <v>0.42970123022847101</v>
      </c>
      <c r="N234" s="27"/>
      <c r="O234" s="14">
        <v>316972</v>
      </c>
      <c r="P234" s="8">
        <f t="shared" si="23"/>
        <v>10224.903225806451</v>
      </c>
      <c r="Q234" s="9">
        <f t="shared" si="24"/>
        <v>97.136299105283754</v>
      </c>
      <c r="R234" s="8">
        <v>975000</v>
      </c>
    </row>
    <row r="235" spans="1:18" x14ac:dyDescent="0.25">
      <c r="A235" s="3">
        <v>40330</v>
      </c>
      <c r="B235" s="2">
        <v>30</v>
      </c>
      <c r="C235" s="8">
        <v>29793592</v>
      </c>
      <c r="D235" s="8">
        <f t="shared" si="18"/>
        <v>993119.73333333328</v>
      </c>
      <c r="E235" s="9">
        <v>71.36</v>
      </c>
      <c r="F235" s="2">
        <v>1138</v>
      </c>
      <c r="G235" s="8">
        <v>2723376</v>
      </c>
      <c r="H235" s="12">
        <f t="shared" si="19"/>
        <v>1.1006041473773243</v>
      </c>
      <c r="I235" s="8">
        <v>21233490</v>
      </c>
      <c r="J235" s="8">
        <f t="shared" si="20"/>
        <v>707783</v>
      </c>
      <c r="K235" s="13">
        <f t="shared" si="21"/>
        <v>0.71268647298385501</v>
      </c>
      <c r="L235" s="2">
        <v>492</v>
      </c>
      <c r="M235" s="13">
        <f t="shared" si="22"/>
        <v>0.43233743409490333</v>
      </c>
      <c r="N235" s="27"/>
      <c r="O235" s="14">
        <v>302709</v>
      </c>
      <c r="P235" s="8">
        <f t="shared" si="23"/>
        <v>10090.299999999999</v>
      </c>
      <c r="Q235" s="9">
        <f t="shared" si="24"/>
        <v>98.423211731398808</v>
      </c>
      <c r="R235" s="8">
        <v>975000</v>
      </c>
    </row>
    <row r="236" spans="1:18" x14ac:dyDescent="0.25">
      <c r="A236" s="3">
        <v>40360</v>
      </c>
      <c r="B236" s="2">
        <v>31</v>
      </c>
      <c r="C236" s="8">
        <v>30616374</v>
      </c>
      <c r="D236" s="8">
        <f t="shared" si="18"/>
        <v>987624.96774193551</v>
      </c>
      <c r="E236" s="9">
        <v>72.150000000000006</v>
      </c>
      <c r="F236" s="2">
        <v>1137</v>
      </c>
      <c r="G236" s="8">
        <v>2389320</v>
      </c>
      <c r="H236" s="12">
        <f t="shared" si="19"/>
        <v>1.0846464530092301</v>
      </c>
      <c r="I236" s="8">
        <v>22020115</v>
      </c>
      <c r="J236" s="8">
        <f t="shared" si="20"/>
        <v>710326.29032258061</v>
      </c>
      <c r="K236" s="13">
        <f t="shared" si="21"/>
        <v>0.7192267444864634</v>
      </c>
      <c r="L236" s="2">
        <v>493</v>
      </c>
      <c r="M236" s="13">
        <f t="shared" si="22"/>
        <v>0.4335971855760774</v>
      </c>
      <c r="N236" s="27"/>
      <c r="O236" s="14">
        <v>311869</v>
      </c>
      <c r="P236" s="8">
        <f t="shared" si="23"/>
        <v>10060.290322580646</v>
      </c>
      <c r="Q236" s="9">
        <f t="shared" si="24"/>
        <v>98.170622921803698</v>
      </c>
      <c r="R236" s="8">
        <v>975000</v>
      </c>
    </row>
    <row r="237" spans="1:18" x14ac:dyDescent="0.25">
      <c r="A237" s="3">
        <v>40391</v>
      </c>
      <c r="B237" s="2">
        <v>31</v>
      </c>
      <c r="C237" s="8">
        <v>30779803</v>
      </c>
      <c r="D237" s="8">
        <f t="shared" si="18"/>
        <v>992896.87096774194</v>
      </c>
      <c r="E237" s="9">
        <v>72.59</v>
      </c>
      <c r="F237" s="2">
        <v>1138</v>
      </c>
      <c r="G237" s="8">
        <v>2617608</v>
      </c>
      <c r="H237" s="12">
        <f t="shared" si="19"/>
        <v>1.0929475845188914</v>
      </c>
      <c r="I237" s="8">
        <v>22001453</v>
      </c>
      <c r="J237" s="8">
        <f t="shared" si="20"/>
        <v>709724.29032258061</v>
      </c>
      <c r="K237" s="13">
        <f t="shared" si="21"/>
        <v>0.71480161845090429</v>
      </c>
      <c r="L237" s="2">
        <v>496</v>
      </c>
      <c r="M237" s="13">
        <f t="shared" si="22"/>
        <v>0.43585237258347981</v>
      </c>
      <c r="N237" s="27"/>
      <c r="O237" s="14">
        <v>311453</v>
      </c>
      <c r="P237" s="8">
        <f t="shared" si="23"/>
        <v>10046.870967741936</v>
      </c>
      <c r="Q237" s="9">
        <f t="shared" si="24"/>
        <v>98.826477831326073</v>
      </c>
      <c r="R237" s="8">
        <v>975000</v>
      </c>
    </row>
    <row r="238" spans="1:18" x14ac:dyDescent="0.25">
      <c r="A238" s="3">
        <v>40422</v>
      </c>
      <c r="B238" s="2">
        <v>30</v>
      </c>
      <c r="C238" s="8">
        <v>30096679</v>
      </c>
      <c r="D238" s="8">
        <f t="shared" si="18"/>
        <v>1003222.6333333333</v>
      </c>
      <c r="E238" s="9">
        <v>71.41</v>
      </c>
      <c r="F238" s="2">
        <v>1130</v>
      </c>
      <c r="G238" s="8">
        <v>2335263</v>
      </c>
      <c r="H238" s="12">
        <f t="shared" si="19"/>
        <v>1.0841190161193506</v>
      </c>
      <c r="I238" s="8">
        <v>21777504</v>
      </c>
      <c r="J238" s="8">
        <f t="shared" si="20"/>
        <v>725916.8</v>
      </c>
      <c r="K238" s="13">
        <f t="shared" si="21"/>
        <v>0.7235849510173531</v>
      </c>
      <c r="L238" s="2">
        <v>498</v>
      </c>
      <c r="M238" s="13">
        <f t="shared" si="22"/>
        <v>0.44070796460176992</v>
      </c>
      <c r="N238" s="27"/>
      <c r="O238" s="14">
        <v>304205</v>
      </c>
      <c r="P238" s="8">
        <f t="shared" si="23"/>
        <v>10140.166666666666</v>
      </c>
      <c r="Q238" s="9">
        <f t="shared" si="24"/>
        <v>98.935517167699416</v>
      </c>
      <c r="R238" s="8">
        <v>975000</v>
      </c>
    </row>
    <row r="239" spans="1:18" x14ac:dyDescent="0.25">
      <c r="A239" s="3">
        <v>40452</v>
      </c>
      <c r="B239" s="2">
        <v>31</v>
      </c>
      <c r="C239" s="8">
        <v>30940898</v>
      </c>
      <c r="D239" s="8">
        <f t="shared" si="18"/>
        <v>998093.48387096776</v>
      </c>
      <c r="E239" s="9">
        <v>77.89</v>
      </c>
      <c r="F239" s="2">
        <v>1129</v>
      </c>
      <c r="G239" s="8">
        <v>2505853</v>
      </c>
      <c r="H239" s="12">
        <f t="shared" si="19"/>
        <v>1.0881255155390117</v>
      </c>
      <c r="I239" s="8">
        <v>22290179</v>
      </c>
      <c r="J239" s="8">
        <f t="shared" si="20"/>
        <v>719038.03225806449</v>
      </c>
      <c r="K239" s="13">
        <f t="shared" si="21"/>
        <v>0.72041150841840462</v>
      </c>
      <c r="L239" s="2">
        <v>499</v>
      </c>
      <c r="M239" s="13">
        <f t="shared" si="22"/>
        <v>0.44198405668733393</v>
      </c>
      <c r="N239" s="27"/>
      <c r="O239" s="14">
        <v>312644</v>
      </c>
      <c r="P239" s="8">
        <f t="shared" si="23"/>
        <v>10085.290322580646</v>
      </c>
      <c r="Q239" s="9">
        <f t="shared" si="24"/>
        <v>98.965270403398108</v>
      </c>
      <c r="R239" s="8">
        <v>975000</v>
      </c>
    </row>
    <row r="240" spans="1:18" x14ac:dyDescent="0.25">
      <c r="A240" s="3">
        <v>40483</v>
      </c>
      <c r="B240" s="2">
        <v>30</v>
      </c>
      <c r="C240" s="8">
        <v>30131907</v>
      </c>
      <c r="D240" s="8">
        <f t="shared" si="18"/>
        <v>1004396.9</v>
      </c>
      <c r="E240" s="9">
        <v>80.239999999999995</v>
      </c>
      <c r="F240" s="2">
        <v>1133</v>
      </c>
      <c r="G240" s="8">
        <v>2207176</v>
      </c>
      <c r="H240" s="12">
        <f t="shared" si="19"/>
        <v>1.0790401884265242</v>
      </c>
      <c r="I240" s="8">
        <v>21947487</v>
      </c>
      <c r="J240" s="8">
        <f t="shared" si="20"/>
        <v>731582.9</v>
      </c>
      <c r="K240" s="13">
        <f t="shared" si="21"/>
        <v>0.72838028472608785</v>
      </c>
      <c r="L240" s="2">
        <v>500</v>
      </c>
      <c r="M240" s="13">
        <f t="shared" si="22"/>
        <v>0.44130626654898497</v>
      </c>
      <c r="N240" s="27"/>
      <c r="O240" s="14">
        <v>303796</v>
      </c>
      <c r="P240" s="8">
        <f t="shared" si="23"/>
        <v>10126.533333333333</v>
      </c>
      <c r="Q240" s="9">
        <f t="shared" si="24"/>
        <v>99.18467326758747</v>
      </c>
      <c r="R240" s="8">
        <v>975000</v>
      </c>
    </row>
    <row r="241" spans="1:18" x14ac:dyDescent="0.25">
      <c r="A241" s="3">
        <v>40513</v>
      </c>
      <c r="B241" s="2">
        <v>31</v>
      </c>
      <c r="C241" s="8">
        <v>30710223</v>
      </c>
      <c r="D241" s="8">
        <f t="shared" si="18"/>
        <v>990652.3548387097</v>
      </c>
      <c r="E241" s="9">
        <v>85.25</v>
      </c>
      <c r="F241" s="2">
        <v>1134</v>
      </c>
      <c r="G241" s="8">
        <v>2309261</v>
      </c>
      <c r="H241" s="12">
        <f t="shared" si="19"/>
        <v>1.0813092528344639</v>
      </c>
      <c r="I241" s="8">
        <v>22269564</v>
      </c>
      <c r="J241" s="8">
        <f t="shared" si="20"/>
        <v>718373.03225806449</v>
      </c>
      <c r="K241" s="13">
        <f t="shared" si="21"/>
        <v>0.72515149108490684</v>
      </c>
      <c r="L241" s="2">
        <v>503</v>
      </c>
      <c r="M241" s="13">
        <f t="shared" si="22"/>
        <v>0.4435626102292769</v>
      </c>
      <c r="N241" s="27"/>
      <c r="O241" s="14">
        <v>309349</v>
      </c>
      <c r="P241" s="8">
        <f t="shared" si="23"/>
        <v>9979</v>
      </c>
      <c r="Q241" s="9">
        <f t="shared" si="24"/>
        <v>99.273710275449417</v>
      </c>
      <c r="R241" s="8">
        <v>975000</v>
      </c>
    </row>
    <row r="242" spans="1:18" x14ac:dyDescent="0.25">
      <c r="A242" s="3">
        <v>40544</v>
      </c>
      <c r="B242" s="2">
        <v>31</v>
      </c>
      <c r="C242" s="8">
        <v>30634469</v>
      </c>
      <c r="D242" s="8">
        <f t="shared" si="18"/>
        <v>988208.67741935479</v>
      </c>
      <c r="E242" s="9">
        <v>85.69</v>
      </c>
      <c r="F242" s="2">
        <v>1134</v>
      </c>
      <c r="G242" s="8">
        <v>2411161</v>
      </c>
      <c r="H242" s="12">
        <f t="shared" si="19"/>
        <v>1.0854315518223447</v>
      </c>
      <c r="I242" s="8">
        <v>22109525</v>
      </c>
      <c r="J242" s="8">
        <f t="shared" si="20"/>
        <v>713210.48387096776</v>
      </c>
      <c r="K242" s="13">
        <f t="shared" si="21"/>
        <v>0.72172052337515624</v>
      </c>
      <c r="L242" s="2">
        <v>502</v>
      </c>
      <c r="M242" s="13">
        <f t="shared" si="22"/>
        <v>0.44268077601410932</v>
      </c>
      <c r="N242" s="27"/>
      <c r="O242" s="14">
        <v>310848</v>
      </c>
      <c r="P242" s="8">
        <f t="shared" si="23"/>
        <v>10027.354838709678</v>
      </c>
      <c r="Q242" s="9">
        <f t="shared" si="24"/>
        <v>98.55128229874407</v>
      </c>
      <c r="R242" s="8">
        <v>1000000</v>
      </c>
    </row>
    <row r="243" spans="1:18" x14ac:dyDescent="0.25">
      <c r="A243" s="3">
        <v>40575</v>
      </c>
      <c r="B243" s="2">
        <v>28</v>
      </c>
      <c r="C243" s="8">
        <v>27411405</v>
      </c>
      <c r="D243" s="8">
        <f t="shared" si="18"/>
        <v>978978.75</v>
      </c>
      <c r="E243" s="9">
        <v>85.59</v>
      </c>
      <c r="F243" s="2">
        <v>1134</v>
      </c>
      <c r="G243" s="8">
        <v>1871880</v>
      </c>
      <c r="H243" s="12">
        <f t="shared" si="19"/>
        <v>1.0732934539698762</v>
      </c>
      <c r="I243" s="8">
        <v>19993454</v>
      </c>
      <c r="J243" s="8">
        <f t="shared" si="20"/>
        <v>714051.92857142852</v>
      </c>
      <c r="K243" s="13">
        <f t="shared" si="21"/>
        <v>0.72938450254556453</v>
      </c>
      <c r="L243" s="2">
        <v>503</v>
      </c>
      <c r="M243" s="13">
        <f t="shared" si="22"/>
        <v>0.4435626102292769</v>
      </c>
      <c r="N243" s="27"/>
      <c r="O243" s="14">
        <v>281459</v>
      </c>
      <c r="P243" s="8">
        <f t="shared" si="23"/>
        <v>10052.107142857143</v>
      </c>
      <c r="Q243" s="9">
        <f t="shared" si="24"/>
        <v>97.390401443904793</v>
      </c>
      <c r="R243" s="8">
        <v>1000000</v>
      </c>
    </row>
    <row r="244" spans="1:18" x14ac:dyDescent="0.25">
      <c r="A244" s="3">
        <v>40603</v>
      </c>
      <c r="B244" s="2">
        <v>31</v>
      </c>
      <c r="C244" s="8">
        <v>31021102</v>
      </c>
      <c r="D244" s="8">
        <f t="shared" si="18"/>
        <v>1000680.7096774194</v>
      </c>
      <c r="E244" s="9">
        <v>98.99</v>
      </c>
      <c r="F244" s="2">
        <v>1133</v>
      </c>
      <c r="G244" s="8">
        <v>2261554</v>
      </c>
      <c r="H244" s="12">
        <f t="shared" si="19"/>
        <v>1.0786366322586154</v>
      </c>
      <c r="I244" s="8">
        <v>22620574</v>
      </c>
      <c r="J244" s="8">
        <f t="shared" si="20"/>
        <v>729695.93548387091</v>
      </c>
      <c r="K244" s="13">
        <f t="shared" si="21"/>
        <v>0.72919956228505356</v>
      </c>
      <c r="L244" s="2">
        <v>504</v>
      </c>
      <c r="M244" s="13">
        <f t="shared" si="22"/>
        <v>0.44483671668137686</v>
      </c>
      <c r="N244" s="27"/>
      <c r="O244" s="14">
        <v>317982</v>
      </c>
      <c r="P244" s="8">
        <f t="shared" si="23"/>
        <v>10257.483870967742</v>
      </c>
      <c r="Q244" s="9">
        <f t="shared" si="24"/>
        <v>97.55615726676352</v>
      </c>
      <c r="R244" s="8">
        <v>1000000</v>
      </c>
    </row>
    <row r="245" spans="1:18" x14ac:dyDescent="0.25">
      <c r="A245" s="3">
        <v>40634</v>
      </c>
      <c r="B245" s="2">
        <v>30</v>
      </c>
      <c r="C245" s="8">
        <v>29659740</v>
      </c>
      <c r="D245" s="8">
        <f t="shared" si="18"/>
        <v>988658</v>
      </c>
      <c r="E245" s="9">
        <v>106.38</v>
      </c>
      <c r="F245" s="2">
        <v>1127</v>
      </c>
      <c r="G245" s="8">
        <v>2222581</v>
      </c>
      <c r="H245" s="12">
        <f t="shared" si="19"/>
        <v>1.0810062368337772</v>
      </c>
      <c r="I245" s="8">
        <v>21504176</v>
      </c>
      <c r="J245" s="8">
        <f t="shared" si="20"/>
        <v>716805.8666666667</v>
      </c>
      <c r="K245" s="13">
        <f t="shared" si="21"/>
        <v>0.72502914725483092</v>
      </c>
      <c r="L245" s="2">
        <v>503</v>
      </c>
      <c r="M245" s="13">
        <f t="shared" si="22"/>
        <v>0.44631765749778174</v>
      </c>
      <c r="N245" s="27"/>
      <c r="O245" s="14">
        <v>300876</v>
      </c>
      <c r="P245" s="8">
        <f t="shared" si="23"/>
        <v>10029.200000000001</v>
      </c>
      <c r="Q245" s="9">
        <f t="shared" si="24"/>
        <v>98.577952379053158</v>
      </c>
      <c r="R245" s="8">
        <v>1000000</v>
      </c>
    </row>
    <row r="246" spans="1:18" x14ac:dyDescent="0.25">
      <c r="A246" s="3">
        <v>40664</v>
      </c>
      <c r="B246" s="2">
        <v>31</v>
      </c>
      <c r="C246" s="8">
        <v>31330172</v>
      </c>
      <c r="D246" s="8">
        <f t="shared" si="18"/>
        <v>1010650.7096774194</v>
      </c>
      <c r="E246" s="9">
        <v>97.15</v>
      </c>
      <c r="F246" s="2">
        <v>1132</v>
      </c>
      <c r="G246" s="8">
        <v>2219519</v>
      </c>
      <c r="H246" s="12">
        <f t="shared" si="19"/>
        <v>1.0762442189118877</v>
      </c>
      <c r="I246" s="8">
        <v>23046738</v>
      </c>
      <c r="J246" s="8">
        <f t="shared" si="20"/>
        <v>743443.16129032255</v>
      </c>
      <c r="K246" s="13">
        <f t="shared" si="21"/>
        <v>0.73560840968252583</v>
      </c>
      <c r="L246" s="2">
        <v>504</v>
      </c>
      <c r="M246" s="13">
        <f t="shared" si="22"/>
        <v>0.44522968197879859</v>
      </c>
      <c r="N246" s="27"/>
      <c r="O246" s="14">
        <v>317462</v>
      </c>
      <c r="P246" s="8">
        <f t="shared" si="23"/>
        <v>10240.709677419354</v>
      </c>
      <c r="Q246" s="9">
        <f t="shared" si="24"/>
        <v>98.689518745550657</v>
      </c>
      <c r="R246" s="8">
        <v>1000000</v>
      </c>
    </row>
    <row r="247" spans="1:18" x14ac:dyDescent="0.25">
      <c r="A247" s="3">
        <v>40695</v>
      </c>
      <c r="B247" s="2">
        <v>30</v>
      </c>
      <c r="C247" s="8">
        <v>30345840</v>
      </c>
      <c r="D247" s="8">
        <f t="shared" si="18"/>
        <v>1011528</v>
      </c>
      <c r="E247" s="9">
        <v>92.18</v>
      </c>
      <c r="F247" s="2">
        <v>1134</v>
      </c>
      <c r="G247" s="8">
        <v>2080669</v>
      </c>
      <c r="H247" s="12">
        <f t="shared" si="19"/>
        <v>1.0736124681502899</v>
      </c>
      <c r="I247" s="8">
        <v>22378861</v>
      </c>
      <c r="J247" s="8">
        <f t="shared" si="20"/>
        <v>745962.03333333333</v>
      </c>
      <c r="K247" s="13">
        <f t="shared" si="21"/>
        <v>0.7374605876785747</v>
      </c>
      <c r="L247" s="2">
        <v>514</v>
      </c>
      <c r="M247" s="13">
        <f t="shared" si="22"/>
        <v>0.4532627865961199</v>
      </c>
      <c r="N247" s="27"/>
      <c r="O247" s="14">
        <v>301530</v>
      </c>
      <c r="P247" s="8">
        <f t="shared" si="23"/>
        <v>10051</v>
      </c>
      <c r="Q247" s="9">
        <f t="shared" si="24"/>
        <v>100.6395383543926</v>
      </c>
      <c r="R247" s="8">
        <v>1000000</v>
      </c>
    </row>
    <row r="248" spans="1:18" x14ac:dyDescent="0.25">
      <c r="A248" s="3">
        <v>40725</v>
      </c>
      <c r="B248" s="2">
        <v>31</v>
      </c>
      <c r="C248" s="8">
        <v>31687591</v>
      </c>
      <c r="D248" s="8">
        <f t="shared" si="18"/>
        <v>1022180.3548387097</v>
      </c>
      <c r="E248" s="9">
        <v>93.06</v>
      </c>
      <c r="F248" s="2">
        <v>1134</v>
      </c>
      <c r="G248" s="8">
        <v>2203799</v>
      </c>
      <c r="H248" s="12">
        <f t="shared" si="19"/>
        <v>1.0747461181383995</v>
      </c>
      <c r="I248" s="8">
        <v>23307328</v>
      </c>
      <c r="J248" s="8">
        <f t="shared" si="20"/>
        <v>751849.29032258061</v>
      </c>
      <c r="K248" s="13">
        <f t="shared" si="21"/>
        <v>0.73553486599849138</v>
      </c>
      <c r="L248" s="2">
        <v>515</v>
      </c>
      <c r="M248" s="13">
        <f t="shared" si="22"/>
        <v>0.45414462081128748</v>
      </c>
      <c r="N248" s="27"/>
      <c r="O248" s="14">
        <v>312375</v>
      </c>
      <c r="P248" s="8">
        <f t="shared" si="23"/>
        <v>10076.612903225807</v>
      </c>
      <c r="Q248" s="9">
        <f t="shared" si="24"/>
        <v>101.44086754701881</v>
      </c>
      <c r="R248" s="8">
        <v>1000000</v>
      </c>
    </row>
    <row r="249" spans="1:18" x14ac:dyDescent="0.25">
      <c r="A249" s="3">
        <v>40756</v>
      </c>
      <c r="B249" s="2">
        <v>31</v>
      </c>
      <c r="C249" s="8">
        <v>31291060</v>
      </c>
      <c r="D249" s="8">
        <f t="shared" si="18"/>
        <v>1009389.0322580645</v>
      </c>
      <c r="E249" s="9">
        <v>81.95</v>
      </c>
      <c r="F249" s="2">
        <v>1124</v>
      </c>
      <c r="G249" s="8">
        <v>1903585</v>
      </c>
      <c r="H249" s="12">
        <f t="shared" si="19"/>
        <v>1.0647753847514971</v>
      </c>
      <c r="I249" s="8">
        <v>23201302</v>
      </c>
      <c r="J249" s="8">
        <f t="shared" si="20"/>
        <v>748429.09677419357</v>
      </c>
      <c r="K249" s="13">
        <f t="shared" si="21"/>
        <v>0.74146743510766333</v>
      </c>
      <c r="L249" s="2">
        <v>519</v>
      </c>
      <c r="M249" s="13">
        <f t="shared" si="22"/>
        <v>0.46174377224199287</v>
      </c>
      <c r="N249" s="27"/>
      <c r="O249" s="14">
        <v>311769</v>
      </c>
      <c r="P249" s="8">
        <f t="shared" si="23"/>
        <v>10057.064516129032</v>
      </c>
      <c r="Q249" s="9">
        <f t="shared" si="24"/>
        <v>100.36616854145217</v>
      </c>
      <c r="R249" s="8">
        <v>1000000</v>
      </c>
    </row>
    <row r="250" spans="1:18" x14ac:dyDescent="0.25">
      <c r="A250" s="3">
        <v>40787</v>
      </c>
      <c r="B250" s="2">
        <v>30</v>
      </c>
      <c r="C250" s="8">
        <v>29436064</v>
      </c>
      <c r="D250" s="8">
        <f t="shared" si="18"/>
        <v>981202.1333333333</v>
      </c>
      <c r="E250" s="9">
        <v>81.569999999999993</v>
      </c>
      <c r="F250" s="2">
        <v>1122</v>
      </c>
      <c r="G250" s="8">
        <v>1765661</v>
      </c>
      <c r="H250" s="12">
        <f t="shared" si="19"/>
        <v>1.0638104548025555</v>
      </c>
      <c r="I250" s="8">
        <v>21713687</v>
      </c>
      <c r="J250" s="8">
        <f t="shared" si="20"/>
        <v>723789.56666666665</v>
      </c>
      <c r="K250" s="13">
        <f t="shared" si="21"/>
        <v>0.73765592437902028</v>
      </c>
      <c r="L250" s="2">
        <v>520</v>
      </c>
      <c r="M250" s="13">
        <f t="shared" si="22"/>
        <v>0.46345811051693403</v>
      </c>
      <c r="N250" s="27"/>
      <c r="O250" s="14">
        <v>291038</v>
      </c>
      <c r="P250" s="8">
        <f t="shared" si="23"/>
        <v>9701.2666666666664</v>
      </c>
      <c r="Q250" s="9">
        <f t="shared" si="24"/>
        <v>101.14165160563225</v>
      </c>
      <c r="R250" s="8">
        <v>1000000</v>
      </c>
    </row>
    <row r="251" spans="1:18" x14ac:dyDescent="0.25">
      <c r="A251" s="3">
        <v>40817</v>
      </c>
      <c r="B251" s="2">
        <v>31</v>
      </c>
      <c r="C251" s="8">
        <v>31848308</v>
      </c>
      <c r="D251" s="8">
        <f t="shared" si="18"/>
        <v>1027364.7741935484</v>
      </c>
      <c r="E251" s="9">
        <v>83.23</v>
      </c>
      <c r="F251" s="2">
        <v>1120</v>
      </c>
      <c r="G251" s="8">
        <v>2206760</v>
      </c>
      <c r="H251" s="12">
        <f t="shared" si="19"/>
        <v>1.0744482035823499</v>
      </c>
      <c r="I251" s="8">
        <v>23567226</v>
      </c>
      <c r="J251" s="8">
        <f t="shared" si="20"/>
        <v>760233.09677419357</v>
      </c>
      <c r="K251" s="13">
        <f t="shared" si="21"/>
        <v>0.73998361231623355</v>
      </c>
      <c r="L251" s="2">
        <v>521</v>
      </c>
      <c r="M251" s="13">
        <f t="shared" si="22"/>
        <v>0.46517857142857144</v>
      </c>
      <c r="N251" s="27"/>
      <c r="O251" s="14">
        <v>313765</v>
      </c>
      <c r="P251" s="8">
        <f t="shared" si="23"/>
        <v>10121.451612903225</v>
      </c>
      <c r="Q251" s="9">
        <f t="shared" si="24"/>
        <v>101.50369862795404</v>
      </c>
      <c r="R251" s="8">
        <v>1000000</v>
      </c>
    </row>
    <row r="252" spans="1:18" x14ac:dyDescent="0.25">
      <c r="A252" s="3">
        <v>40848</v>
      </c>
      <c r="B252" s="2">
        <v>30</v>
      </c>
      <c r="C252" s="8">
        <v>31302387</v>
      </c>
      <c r="D252" s="8">
        <f t="shared" si="18"/>
        <v>1043412.9</v>
      </c>
      <c r="E252" s="9">
        <v>96.88</v>
      </c>
      <c r="F252" s="2">
        <v>1121</v>
      </c>
      <c r="G252" s="8">
        <v>2036360</v>
      </c>
      <c r="H252" s="12">
        <f t="shared" si="19"/>
        <v>1.0695810196580493</v>
      </c>
      <c r="I252" s="8">
        <v>23378325</v>
      </c>
      <c r="J252" s="8">
        <f t="shared" si="20"/>
        <v>779277.5</v>
      </c>
      <c r="K252" s="13">
        <f t="shared" si="21"/>
        <v>0.74685438525822323</v>
      </c>
      <c r="L252" s="2">
        <v>521</v>
      </c>
      <c r="M252" s="13">
        <f t="shared" si="22"/>
        <v>0.46476360392506688</v>
      </c>
      <c r="N252" s="27"/>
      <c r="O252" s="14">
        <v>307695</v>
      </c>
      <c r="P252" s="8">
        <f t="shared" si="23"/>
        <v>10256.5</v>
      </c>
      <c r="Q252" s="9">
        <f t="shared" si="24"/>
        <v>101.73186759615854</v>
      </c>
      <c r="R252" s="8">
        <v>1000000</v>
      </c>
    </row>
    <row r="253" spans="1:18" x14ac:dyDescent="0.25">
      <c r="A253" s="3">
        <v>40878</v>
      </c>
      <c r="B253" s="2">
        <v>31</v>
      </c>
      <c r="C253" s="8">
        <v>31939346</v>
      </c>
      <c r="D253" s="8">
        <f t="shared" si="18"/>
        <v>1030301.4838709678</v>
      </c>
      <c r="E253" s="9">
        <v>98.55</v>
      </c>
      <c r="F253" s="2">
        <v>1121</v>
      </c>
      <c r="G253" s="8">
        <v>2108739</v>
      </c>
      <c r="H253" s="12">
        <f t="shared" si="19"/>
        <v>1.070690448907057</v>
      </c>
      <c r="I253" s="8">
        <v>23839443</v>
      </c>
      <c r="J253" s="8">
        <f t="shared" si="20"/>
        <v>769014.29032258061</v>
      </c>
      <c r="K253" s="13">
        <f t="shared" si="21"/>
        <v>0.74639734326432361</v>
      </c>
      <c r="L253" s="2">
        <v>527</v>
      </c>
      <c r="M253" s="13">
        <f t="shared" si="22"/>
        <v>0.47011596788581622</v>
      </c>
      <c r="N253" s="27"/>
      <c r="O253" s="14">
        <v>316832</v>
      </c>
      <c r="P253" s="8">
        <f t="shared" si="23"/>
        <v>10220.387096774193</v>
      </c>
      <c r="Q253" s="9">
        <f t="shared" si="24"/>
        <v>100.80846000404</v>
      </c>
      <c r="R253" s="8">
        <v>1000000</v>
      </c>
    </row>
    <row r="254" spans="1:18" x14ac:dyDescent="0.25">
      <c r="A254" s="3">
        <v>40909</v>
      </c>
      <c r="B254" s="2">
        <v>31</v>
      </c>
      <c r="C254" s="8">
        <v>31964011</v>
      </c>
      <c r="D254" s="8">
        <f t="shared" si="18"/>
        <v>1031097.1290322581</v>
      </c>
      <c r="E254" s="9">
        <v>98.71</v>
      </c>
      <c r="F254" s="2">
        <v>1121</v>
      </c>
      <c r="G254" s="8">
        <v>1868520</v>
      </c>
      <c r="H254" s="12">
        <f t="shared" si="19"/>
        <v>1.0620863769924871</v>
      </c>
      <c r="I254" s="8">
        <v>24204800</v>
      </c>
      <c r="J254" s="8">
        <f t="shared" si="20"/>
        <v>780800</v>
      </c>
      <c r="K254" s="13">
        <f t="shared" si="21"/>
        <v>0.75725164779851939</v>
      </c>
      <c r="L254" s="2">
        <v>528</v>
      </c>
      <c r="M254" s="13">
        <f t="shared" si="22"/>
        <v>0.47100802854594115</v>
      </c>
      <c r="N254" s="27"/>
      <c r="O254" s="14">
        <v>316223</v>
      </c>
      <c r="P254" s="8">
        <f t="shared" si="23"/>
        <v>10200.741935483871</v>
      </c>
      <c r="Q254" s="9">
        <f t="shared" si="24"/>
        <v>101.08060134778304</v>
      </c>
      <c r="R254" s="8">
        <v>1020000</v>
      </c>
    </row>
    <row r="255" spans="1:18" x14ac:dyDescent="0.25">
      <c r="A255" s="3">
        <v>40940</v>
      </c>
      <c r="B255" s="2">
        <v>29</v>
      </c>
      <c r="C255" s="8">
        <v>30295044</v>
      </c>
      <c r="D255" s="8">
        <f t="shared" si="18"/>
        <v>1044656.6896551724</v>
      </c>
      <c r="E255" s="9">
        <v>100.8</v>
      </c>
      <c r="F255" s="2">
        <v>1122</v>
      </c>
      <c r="G255" s="8">
        <v>2021541</v>
      </c>
      <c r="H255" s="12">
        <f t="shared" si="19"/>
        <v>1.0714994884079274</v>
      </c>
      <c r="I255" s="8">
        <v>22760580</v>
      </c>
      <c r="J255" s="8">
        <f t="shared" si="20"/>
        <v>784847.58620689658</v>
      </c>
      <c r="K255" s="13">
        <f t="shared" si="21"/>
        <v>0.7512971428594063</v>
      </c>
      <c r="L255" s="2">
        <v>529</v>
      </c>
      <c r="M255" s="13">
        <f t="shared" si="22"/>
        <v>0.47147950089126561</v>
      </c>
      <c r="N255" s="27"/>
      <c r="O255" s="14">
        <v>297881</v>
      </c>
      <c r="P255" s="8">
        <f t="shared" si="23"/>
        <v>10271.758620689656</v>
      </c>
      <c r="Q255" s="9">
        <f t="shared" si="24"/>
        <v>101.70183395382719</v>
      </c>
      <c r="R255" s="8">
        <v>1020000</v>
      </c>
    </row>
    <row r="256" spans="1:18" x14ac:dyDescent="0.25">
      <c r="A256" s="3">
        <v>40969</v>
      </c>
      <c r="B256" s="2">
        <v>31</v>
      </c>
      <c r="C256" s="8">
        <v>32219307</v>
      </c>
      <c r="D256" s="8">
        <f t="shared" si="18"/>
        <v>1039332.4838709678</v>
      </c>
      <c r="E256" s="9">
        <v>104.81</v>
      </c>
      <c r="F256" s="2">
        <v>1122</v>
      </c>
      <c r="G256" s="8">
        <v>1807869</v>
      </c>
      <c r="H256" s="12">
        <f t="shared" si="19"/>
        <v>1.0594470080632161</v>
      </c>
      <c r="I256" s="8">
        <v>24506349</v>
      </c>
      <c r="J256" s="8">
        <f t="shared" si="20"/>
        <v>790527.38709677418</v>
      </c>
      <c r="K256" s="13">
        <f t="shared" si="21"/>
        <v>0.76061067980139985</v>
      </c>
      <c r="L256" s="2">
        <v>531</v>
      </c>
      <c r="M256" s="13">
        <f t="shared" si="22"/>
        <v>0.4732620320855615</v>
      </c>
      <c r="N256" s="27"/>
      <c r="O256" s="14">
        <v>314687</v>
      </c>
      <c r="P256" s="8">
        <f t="shared" si="23"/>
        <v>10151.193548387097</v>
      </c>
      <c r="Q256" s="9">
        <f t="shared" si="24"/>
        <v>102.38524947010839</v>
      </c>
      <c r="R256" s="8">
        <v>1020000</v>
      </c>
    </row>
    <row r="257" spans="1:18" x14ac:dyDescent="0.25">
      <c r="A257" s="3">
        <v>41000</v>
      </c>
      <c r="B257" s="2">
        <v>30</v>
      </c>
      <c r="C257" s="8">
        <v>31661947</v>
      </c>
      <c r="D257" s="8">
        <f t="shared" si="18"/>
        <v>1055398.2333333334</v>
      </c>
      <c r="E257" s="9">
        <v>102.62</v>
      </c>
      <c r="F257" s="2">
        <v>1122</v>
      </c>
      <c r="G257" s="8">
        <v>2097335</v>
      </c>
      <c r="H257" s="12">
        <f t="shared" si="19"/>
        <v>1.0709407246744858</v>
      </c>
      <c r="I257" s="8">
        <v>23833744</v>
      </c>
      <c r="J257" s="8">
        <f t="shared" si="20"/>
        <v>794458.1333333333</v>
      </c>
      <c r="K257" s="13">
        <f t="shared" si="21"/>
        <v>0.75275673981767455</v>
      </c>
      <c r="L257" s="2">
        <v>532</v>
      </c>
      <c r="M257" s="13">
        <f t="shared" si="22"/>
        <v>0.47415329768270947</v>
      </c>
      <c r="N257" s="27"/>
      <c r="O257" s="14">
        <v>305747</v>
      </c>
      <c r="P257" s="8">
        <f t="shared" si="23"/>
        <v>10191.566666666668</v>
      </c>
      <c r="Q257" s="9">
        <f t="shared" si="24"/>
        <v>103.55603489159337</v>
      </c>
      <c r="R257" s="8">
        <v>1020000</v>
      </c>
    </row>
    <row r="258" spans="1:18" x14ac:dyDescent="0.25">
      <c r="A258" s="3">
        <v>41030</v>
      </c>
      <c r="B258" s="2">
        <v>31</v>
      </c>
      <c r="C258" s="8">
        <v>32173107</v>
      </c>
      <c r="D258" s="8">
        <f t="shared" si="18"/>
        <v>1037842.1612903225</v>
      </c>
      <c r="E258" s="9">
        <v>93.44</v>
      </c>
      <c r="F258" s="2">
        <v>1122</v>
      </c>
      <c r="G258" s="8">
        <v>1865190</v>
      </c>
      <c r="H258" s="12">
        <f t="shared" si="19"/>
        <v>1.0615413457810381</v>
      </c>
      <c r="I258" s="8">
        <v>24241285</v>
      </c>
      <c r="J258" s="8">
        <f t="shared" si="20"/>
        <v>781976.93548387091</v>
      </c>
      <c r="K258" s="13">
        <f t="shared" si="21"/>
        <v>0.75346422090971821</v>
      </c>
      <c r="L258" s="2">
        <v>531</v>
      </c>
      <c r="M258" s="13">
        <f t="shared" si="22"/>
        <v>0.4732620320855615</v>
      </c>
      <c r="N258" s="27"/>
      <c r="O258" s="14">
        <v>310112</v>
      </c>
      <c r="P258" s="8">
        <f t="shared" si="23"/>
        <v>10003.612903225807</v>
      </c>
      <c r="Q258" s="9">
        <f t="shared" si="24"/>
        <v>103.74673343824166</v>
      </c>
      <c r="R258" s="8">
        <v>1020000</v>
      </c>
    </row>
    <row r="259" spans="1:18" x14ac:dyDescent="0.25">
      <c r="A259" s="3">
        <v>41061</v>
      </c>
      <c r="B259" s="2">
        <v>30</v>
      </c>
      <c r="C259" s="8">
        <v>32101768</v>
      </c>
      <c r="D259" s="8">
        <f t="shared" si="18"/>
        <v>1070058.9333333333</v>
      </c>
      <c r="E259" s="9">
        <v>81.319999999999993</v>
      </c>
      <c r="F259" s="2">
        <v>1122</v>
      </c>
      <c r="G259" s="8">
        <v>2099302</v>
      </c>
      <c r="H259" s="12">
        <f t="shared" si="19"/>
        <v>1.069970981718636</v>
      </c>
      <c r="I259" s="8">
        <v>24155407</v>
      </c>
      <c r="J259" s="8">
        <f t="shared" si="20"/>
        <v>805180.23333333328</v>
      </c>
      <c r="K259" s="13">
        <f t="shared" si="21"/>
        <v>0.75246344687308186</v>
      </c>
      <c r="L259" s="2">
        <v>537</v>
      </c>
      <c r="M259" s="13">
        <f t="shared" si="22"/>
        <v>0.47860962566844922</v>
      </c>
      <c r="N259" s="27"/>
      <c r="O259" s="14">
        <v>303343</v>
      </c>
      <c r="P259" s="8">
        <f t="shared" si="23"/>
        <v>10111.433333333332</v>
      </c>
      <c r="Q259" s="9">
        <f t="shared" si="24"/>
        <v>105.82663189854391</v>
      </c>
      <c r="R259" s="8">
        <v>1020000</v>
      </c>
    </row>
    <row r="260" spans="1:18" x14ac:dyDescent="0.25">
      <c r="A260" s="3">
        <v>41091</v>
      </c>
      <c r="B260" s="2">
        <v>31</v>
      </c>
      <c r="C260" s="8">
        <v>33059629</v>
      </c>
      <c r="D260" s="8">
        <f t="shared" si="18"/>
        <v>1066439.6451612904</v>
      </c>
      <c r="E260" s="9">
        <v>86.69</v>
      </c>
      <c r="F260" s="2">
        <v>1122</v>
      </c>
      <c r="G260" s="8">
        <v>2020960</v>
      </c>
      <c r="H260" s="12">
        <f t="shared" si="19"/>
        <v>1.0651110393941183</v>
      </c>
      <c r="I260" s="8">
        <v>24766725</v>
      </c>
      <c r="J260" s="8">
        <f t="shared" si="20"/>
        <v>798926.61290322582</v>
      </c>
      <c r="K260" s="13">
        <f t="shared" si="21"/>
        <v>0.74915314385409471</v>
      </c>
      <c r="L260" s="2">
        <v>538</v>
      </c>
      <c r="M260" s="13">
        <f t="shared" si="22"/>
        <v>0.47950089126559714</v>
      </c>
      <c r="N260" s="27"/>
      <c r="O260" s="14">
        <v>309299</v>
      </c>
      <c r="P260" s="8">
        <f t="shared" si="23"/>
        <v>9977.3870967741932</v>
      </c>
      <c r="Q260" s="9">
        <f t="shared" si="24"/>
        <v>106.88566403383136</v>
      </c>
      <c r="R260" s="8">
        <v>1020000</v>
      </c>
    </row>
    <row r="261" spans="1:18" x14ac:dyDescent="0.25">
      <c r="A261" s="3">
        <v>41122</v>
      </c>
      <c r="B261" s="2">
        <v>31</v>
      </c>
      <c r="C261" s="8">
        <v>31872266</v>
      </c>
      <c r="D261" s="8">
        <f t="shared" si="18"/>
        <v>1028137.6129032258</v>
      </c>
      <c r="E261" s="9">
        <v>92.88</v>
      </c>
      <c r="F261" s="2">
        <v>1123</v>
      </c>
      <c r="G261" s="8">
        <v>1410094</v>
      </c>
      <c r="H261" s="12">
        <f t="shared" si="19"/>
        <v>1.0462900019079402</v>
      </c>
      <c r="I261" s="8">
        <v>24182294</v>
      </c>
      <c r="J261" s="8">
        <f t="shared" si="20"/>
        <v>780074</v>
      </c>
      <c r="K261" s="13">
        <f t="shared" si="21"/>
        <v>0.75872528172298759</v>
      </c>
      <c r="L261" s="2">
        <v>537</v>
      </c>
      <c r="M261" s="13">
        <f t="shared" si="22"/>
        <v>0.47818343722172751</v>
      </c>
      <c r="N261" s="27"/>
      <c r="O261" s="14">
        <v>299590</v>
      </c>
      <c r="P261" s="8">
        <f t="shared" si="23"/>
        <v>9664.1935483870966</v>
      </c>
      <c r="Q261" s="9">
        <f t="shared" si="24"/>
        <v>106.3862812510431</v>
      </c>
      <c r="R261" s="8">
        <v>1020000</v>
      </c>
    </row>
    <row r="262" spans="1:18" x14ac:dyDescent="0.25">
      <c r="A262" s="3">
        <v>41153</v>
      </c>
      <c r="B262" s="2">
        <v>30</v>
      </c>
      <c r="C262" s="8">
        <v>31883251</v>
      </c>
      <c r="D262" s="8">
        <f t="shared" si="18"/>
        <v>1062775.0333333334</v>
      </c>
      <c r="E262" s="9">
        <v>93.63</v>
      </c>
      <c r="F262" s="2">
        <v>1124</v>
      </c>
      <c r="G262" s="8">
        <v>2077845</v>
      </c>
      <c r="H262" s="12">
        <f t="shared" si="19"/>
        <v>1.0697136955624762</v>
      </c>
      <c r="I262" s="8">
        <v>23727129</v>
      </c>
      <c r="J262" s="8">
        <f t="shared" si="20"/>
        <v>790904.3</v>
      </c>
      <c r="K262" s="13">
        <f t="shared" si="21"/>
        <v>0.7441878809660909</v>
      </c>
      <c r="L262" s="2">
        <v>537</v>
      </c>
      <c r="M262" s="13">
        <f t="shared" si="22"/>
        <v>0.47775800711743771</v>
      </c>
      <c r="N262" s="27"/>
      <c r="O262" s="14">
        <v>295173</v>
      </c>
      <c r="P262" s="8">
        <f t="shared" si="23"/>
        <v>9839.1</v>
      </c>
      <c r="Q262" s="9">
        <f t="shared" si="24"/>
        <v>108.01547228235646</v>
      </c>
      <c r="R262" s="8">
        <v>1020000</v>
      </c>
    </row>
    <row r="263" spans="1:18" x14ac:dyDescent="0.25">
      <c r="A263" s="3">
        <v>41183</v>
      </c>
      <c r="B263" s="2">
        <v>31</v>
      </c>
      <c r="C263" s="8">
        <v>33026113</v>
      </c>
      <c r="D263" s="8">
        <f t="shared" si="18"/>
        <v>1065358.4838709678</v>
      </c>
      <c r="E263" s="9">
        <v>88.26</v>
      </c>
      <c r="F263" s="2">
        <v>1105</v>
      </c>
      <c r="G263" s="8">
        <v>1855716</v>
      </c>
      <c r="H263" s="12">
        <f t="shared" si="19"/>
        <v>1.0595345641571392</v>
      </c>
      <c r="I263" s="8">
        <v>24894594</v>
      </c>
      <c r="J263" s="8">
        <f t="shared" si="20"/>
        <v>803051.41935483867</v>
      </c>
      <c r="K263" s="13">
        <f t="shared" si="21"/>
        <v>0.7537851638792612</v>
      </c>
      <c r="L263" s="2">
        <v>539</v>
      </c>
      <c r="M263" s="13">
        <f t="shared" si="22"/>
        <v>0.48778280542986424</v>
      </c>
      <c r="N263" s="27"/>
      <c r="O263" s="14">
        <v>314834</v>
      </c>
      <c r="P263" s="8">
        <f t="shared" si="23"/>
        <v>10155.935483870968</v>
      </c>
      <c r="Q263" s="9">
        <f t="shared" si="24"/>
        <v>104.90008385371338</v>
      </c>
      <c r="R263" s="8">
        <v>1020000</v>
      </c>
    </row>
    <row r="264" spans="1:18" x14ac:dyDescent="0.25">
      <c r="A264" s="3">
        <v>41214</v>
      </c>
      <c r="B264" s="2">
        <v>30</v>
      </c>
      <c r="C264" s="8">
        <v>32164508</v>
      </c>
      <c r="D264" s="8">
        <f t="shared" si="18"/>
        <v>1072150.2666666666</v>
      </c>
      <c r="E264" s="9">
        <v>85.41</v>
      </c>
      <c r="F264" s="2">
        <v>1103</v>
      </c>
      <c r="G264" s="8">
        <v>1736712</v>
      </c>
      <c r="H264" s="12">
        <f t="shared" si="19"/>
        <v>1.057076496766312</v>
      </c>
      <c r="I264" s="8">
        <v>24390520</v>
      </c>
      <c r="J264" s="8">
        <f t="shared" si="20"/>
        <v>813017.33333333337</v>
      </c>
      <c r="K264" s="13">
        <f t="shared" si="21"/>
        <v>0.75830539674351616</v>
      </c>
      <c r="L264" s="2">
        <v>541</v>
      </c>
      <c r="M264" s="13">
        <f t="shared" si="22"/>
        <v>0.49048050770625568</v>
      </c>
      <c r="N264" s="27"/>
      <c r="O264" s="14">
        <v>299969</v>
      </c>
      <c r="P264" s="8">
        <f t="shared" si="23"/>
        <v>9998.9666666666672</v>
      </c>
      <c r="Q264" s="9">
        <f t="shared" si="24"/>
        <v>107.22610669769209</v>
      </c>
      <c r="R264" s="8">
        <v>1020000</v>
      </c>
    </row>
    <row r="265" spans="1:18" x14ac:dyDescent="0.25">
      <c r="A265" s="3">
        <v>41244</v>
      </c>
      <c r="B265" s="2">
        <v>31</v>
      </c>
      <c r="C265" s="8">
        <v>32478336</v>
      </c>
      <c r="D265" s="8">
        <f t="shared" si="18"/>
        <v>1047688.2580645161</v>
      </c>
      <c r="E265" s="9">
        <v>86.96</v>
      </c>
      <c r="F265" s="2">
        <v>1091</v>
      </c>
      <c r="G265" s="8">
        <v>1508216</v>
      </c>
      <c r="H265" s="12">
        <f t="shared" si="19"/>
        <v>1.0486990686506865</v>
      </c>
      <c r="I265" s="8">
        <v>24835882</v>
      </c>
      <c r="J265" s="8">
        <f t="shared" si="20"/>
        <v>801157.48387096776</v>
      </c>
      <c r="K265" s="13">
        <f t="shared" si="21"/>
        <v>0.76469071568198566</v>
      </c>
      <c r="L265" s="2">
        <v>542</v>
      </c>
      <c r="M265" s="13">
        <f t="shared" si="22"/>
        <v>0.49679193400549954</v>
      </c>
      <c r="N265" s="27"/>
      <c r="O265" s="14">
        <v>301044</v>
      </c>
      <c r="P265" s="8">
        <f t="shared" si="23"/>
        <v>9711.0967741935492</v>
      </c>
      <c r="Q265" s="9">
        <f t="shared" si="24"/>
        <v>107.88567784111292</v>
      </c>
      <c r="R265" s="8">
        <v>1020000</v>
      </c>
    </row>
    <row r="266" spans="1:18" x14ac:dyDescent="0.25">
      <c r="A266" s="3">
        <v>41275</v>
      </c>
      <c r="B266" s="2">
        <v>31</v>
      </c>
      <c r="C266" s="8">
        <v>32333734</v>
      </c>
      <c r="D266" s="8">
        <f t="shared" si="18"/>
        <v>1043023.6774193548</v>
      </c>
      <c r="E266" s="9">
        <v>93.37</v>
      </c>
      <c r="F266" s="2">
        <v>1090</v>
      </c>
      <c r="G266" s="8">
        <v>1882467</v>
      </c>
      <c r="H266" s="12">
        <f t="shared" si="19"/>
        <v>1.0618190041156579</v>
      </c>
      <c r="I266" s="8">
        <v>24257902</v>
      </c>
      <c r="J266" s="8">
        <f t="shared" si="20"/>
        <v>782512.96774193551</v>
      </c>
      <c r="K266" s="13">
        <f t="shared" si="21"/>
        <v>0.75023509502490493</v>
      </c>
      <c r="L266" s="2">
        <v>543</v>
      </c>
      <c r="M266" s="13">
        <f t="shared" si="22"/>
        <v>0.4981651376146789</v>
      </c>
      <c r="N266" s="27"/>
      <c r="O266" s="15">
        <v>306831</v>
      </c>
      <c r="P266" s="8">
        <f t="shared" si="23"/>
        <v>9897.7741935483864</v>
      </c>
      <c r="Q266" s="9">
        <f t="shared" si="24"/>
        <v>105.37961939960435</v>
      </c>
      <c r="R266" s="8">
        <v>1050000</v>
      </c>
    </row>
    <row r="267" spans="1:18" x14ac:dyDescent="0.25">
      <c r="A267" s="3">
        <v>41306</v>
      </c>
      <c r="B267" s="2">
        <v>28</v>
      </c>
      <c r="C267" s="8">
        <v>29488435</v>
      </c>
      <c r="D267" s="8">
        <f t="shared" si="18"/>
        <v>1053158.392857143</v>
      </c>
      <c r="E267" s="9">
        <v>94.15</v>
      </c>
      <c r="F267" s="2">
        <v>1091</v>
      </c>
      <c r="G267" s="8">
        <v>1859942</v>
      </c>
      <c r="H267" s="12">
        <f t="shared" si="19"/>
        <v>1.0673197050595558</v>
      </c>
      <c r="I267" s="8">
        <v>22041623</v>
      </c>
      <c r="J267" s="8">
        <f t="shared" si="20"/>
        <v>787200.82142857148</v>
      </c>
      <c r="K267" s="13">
        <f t="shared" si="21"/>
        <v>0.74746669329857618</v>
      </c>
      <c r="L267" s="2">
        <v>537</v>
      </c>
      <c r="M267" s="13">
        <f t="shared" si="22"/>
        <v>0.49220898258478463</v>
      </c>
      <c r="N267" s="27"/>
      <c r="O267" s="15">
        <v>280041</v>
      </c>
      <c r="P267" s="8">
        <f t="shared" si="23"/>
        <v>10001.464285714286</v>
      </c>
      <c r="Q267" s="9">
        <f t="shared" si="24"/>
        <v>105.30042029559958</v>
      </c>
      <c r="R267" s="8">
        <v>1050000</v>
      </c>
    </row>
    <row r="268" spans="1:18" x14ac:dyDescent="0.25">
      <c r="A268" s="3">
        <v>41334</v>
      </c>
      <c r="B268" s="2">
        <v>31</v>
      </c>
      <c r="C268" s="8">
        <v>32804817</v>
      </c>
      <c r="D268" s="8">
        <f t="shared" si="18"/>
        <v>1058219.9032258065</v>
      </c>
      <c r="E268" s="9">
        <v>91.98</v>
      </c>
      <c r="F268" s="2">
        <v>1089</v>
      </c>
      <c r="G268" s="8">
        <v>1924817</v>
      </c>
      <c r="H268" s="12">
        <f t="shared" si="19"/>
        <v>1.0623321567357513</v>
      </c>
      <c r="I268" s="8">
        <v>24756637</v>
      </c>
      <c r="J268" s="8">
        <f t="shared" si="20"/>
        <v>798601.19354838715</v>
      </c>
      <c r="K268" s="13">
        <f t="shared" si="21"/>
        <v>0.75466468842060608</v>
      </c>
      <c r="L268" s="2">
        <v>542</v>
      </c>
      <c r="M268" s="13">
        <f t="shared" si="22"/>
        <v>0.49770431588613406</v>
      </c>
      <c r="N268" s="27"/>
      <c r="O268" s="15">
        <v>311857</v>
      </c>
      <c r="P268" s="8">
        <f t="shared" si="23"/>
        <v>10059.903225806451</v>
      </c>
      <c r="Q268" s="9">
        <f t="shared" si="24"/>
        <v>105.19185716530335</v>
      </c>
      <c r="R268" s="8">
        <v>1050000</v>
      </c>
    </row>
    <row r="269" spans="1:18" x14ac:dyDescent="0.25">
      <c r="A269" s="3">
        <v>41365</v>
      </c>
      <c r="B269" s="2">
        <v>30</v>
      </c>
      <c r="C269" s="8">
        <v>31118537</v>
      </c>
      <c r="D269" s="8">
        <f t="shared" si="18"/>
        <v>1037284.5666666667</v>
      </c>
      <c r="E269" s="9">
        <v>90.59</v>
      </c>
      <c r="F269" s="2">
        <v>1084</v>
      </c>
      <c r="G269" s="8">
        <v>1887526</v>
      </c>
      <c r="H269" s="12">
        <f t="shared" si="19"/>
        <v>1.0645727238103397</v>
      </c>
      <c r="I269" s="8">
        <v>24474037</v>
      </c>
      <c r="J269" s="8">
        <f t="shared" si="20"/>
        <v>815801.23333333328</v>
      </c>
      <c r="K269" s="13">
        <f t="shared" si="21"/>
        <v>0.78647775118733887</v>
      </c>
      <c r="L269" s="2">
        <v>547</v>
      </c>
      <c r="M269" s="13">
        <f t="shared" si="22"/>
        <v>0.50461254612546125</v>
      </c>
      <c r="N269" s="27"/>
      <c r="O269" s="15">
        <v>305286</v>
      </c>
      <c r="P269" s="8">
        <f t="shared" si="23"/>
        <v>10176.200000000001</v>
      </c>
      <c r="Q269" s="9">
        <f t="shared" si="24"/>
        <v>101.93240764397973</v>
      </c>
      <c r="R269" s="8">
        <v>1050000</v>
      </c>
    </row>
    <row r="270" spans="1:18" x14ac:dyDescent="0.25">
      <c r="A270" s="3">
        <v>41395</v>
      </c>
      <c r="B270" s="2">
        <v>31</v>
      </c>
      <c r="C270" s="8">
        <v>32529936</v>
      </c>
      <c r="D270" s="8">
        <f t="shared" si="18"/>
        <v>1049352.7741935484</v>
      </c>
      <c r="E270" s="9">
        <v>93.68</v>
      </c>
      <c r="F270" s="2">
        <v>1086</v>
      </c>
      <c r="G270" s="8">
        <v>2079359</v>
      </c>
      <c r="H270" s="12">
        <f t="shared" si="19"/>
        <v>1.0682863579235296</v>
      </c>
      <c r="I270" s="8">
        <v>24472278</v>
      </c>
      <c r="J270" s="8">
        <f t="shared" si="20"/>
        <v>789428.32258064521</v>
      </c>
      <c r="K270" s="13">
        <f t="shared" si="21"/>
        <v>0.75230021971146821</v>
      </c>
      <c r="L270" s="2">
        <v>547</v>
      </c>
      <c r="M270" s="13">
        <f t="shared" si="22"/>
        <v>0.50368324125230202</v>
      </c>
      <c r="N270" s="27"/>
      <c r="O270" s="15">
        <v>311616</v>
      </c>
      <c r="P270" s="8">
        <f t="shared" si="23"/>
        <v>10052.129032258064</v>
      </c>
      <c r="Q270" s="9">
        <f t="shared" si="24"/>
        <v>104.39109673444239</v>
      </c>
      <c r="R270" s="8">
        <v>1050000</v>
      </c>
    </row>
    <row r="271" spans="1:18" x14ac:dyDescent="0.25">
      <c r="A271" s="3">
        <v>41426</v>
      </c>
      <c r="B271" s="2">
        <v>30</v>
      </c>
      <c r="C271" s="8">
        <v>32300467</v>
      </c>
      <c r="D271" s="8">
        <f t="shared" si="18"/>
        <v>1076682.2333333334</v>
      </c>
      <c r="E271" s="9">
        <v>93.56</v>
      </c>
      <c r="F271" s="2">
        <v>1085</v>
      </c>
      <c r="G271" s="8">
        <v>2464994</v>
      </c>
      <c r="H271" s="12">
        <f t="shared" si="19"/>
        <v>1.0826195716756359</v>
      </c>
      <c r="I271" s="8">
        <v>23952732</v>
      </c>
      <c r="J271" s="8">
        <f t="shared" si="20"/>
        <v>798424.4</v>
      </c>
      <c r="K271" s="13">
        <f t="shared" si="21"/>
        <v>0.74155992852982588</v>
      </c>
      <c r="L271" s="2">
        <v>547</v>
      </c>
      <c r="M271" s="13">
        <f t="shared" si="22"/>
        <v>0.50414746543778799</v>
      </c>
      <c r="N271" s="27"/>
      <c r="O271" s="15">
        <v>303064</v>
      </c>
      <c r="P271" s="8">
        <f t="shared" si="23"/>
        <v>10102.133333333333</v>
      </c>
      <c r="Q271" s="9">
        <f t="shared" si="24"/>
        <v>106.57968943853444</v>
      </c>
      <c r="R271" s="8">
        <v>1050000</v>
      </c>
    </row>
    <row r="272" spans="1:18" x14ac:dyDescent="0.25">
      <c r="A272" s="3">
        <v>41456</v>
      </c>
      <c r="B272" s="2">
        <v>31</v>
      </c>
      <c r="C272" s="8">
        <v>34145019</v>
      </c>
      <c r="D272" s="8">
        <f t="shared" si="18"/>
        <v>1101452.2258064516</v>
      </c>
      <c r="E272" s="9">
        <v>102.27</v>
      </c>
      <c r="F272" s="2">
        <v>1085</v>
      </c>
      <c r="G272" s="8">
        <v>3353457</v>
      </c>
      <c r="H272" s="12">
        <f t="shared" si="19"/>
        <v>1.1089083106599138</v>
      </c>
      <c r="I272" s="8">
        <v>24868064</v>
      </c>
      <c r="J272" s="8">
        <f t="shared" si="20"/>
        <v>802195.61290322582</v>
      </c>
      <c r="K272" s="13">
        <f t="shared" si="21"/>
        <v>0.72830722396142167</v>
      </c>
      <c r="L272" s="2">
        <v>549</v>
      </c>
      <c r="M272" s="13">
        <f t="shared" si="22"/>
        <v>0.50599078341013826</v>
      </c>
      <c r="N272" s="27"/>
      <c r="O272" s="15">
        <v>315347</v>
      </c>
      <c r="P272" s="8">
        <f t="shared" si="23"/>
        <v>10172.483870967742</v>
      </c>
      <c r="Q272" s="9">
        <f t="shared" si="24"/>
        <v>108.2776084757426</v>
      </c>
      <c r="R272" s="8">
        <v>1050000</v>
      </c>
    </row>
    <row r="273" spans="1:21" x14ac:dyDescent="0.25">
      <c r="A273" s="3">
        <v>41487</v>
      </c>
      <c r="B273" s="2">
        <v>31</v>
      </c>
      <c r="C273" s="8">
        <v>33236685</v>
      </c>
      <c r="D273" s="8">
        <f t="shared" si="18"/>
        <v>1072151.1290322582</v>
      </c>
      <c r="E273" s="9">
        <v>103.44</v>
      </c>
      <c r="F273" s="2">
        <v>1083</v>
      </c>
      <c r="G273" s="8">
        <v>2350403</v>
      </c>
      <c r="H273" s="12">
        <f t="shared" si="19"/>
        <v>1.0760986058470876</v>
      </c>
      <c r="I273" s="8">
        <v>24835647</v>
      </c>
      <c r="J273" s="8">
        <f t="shared" si="20"/>
        <v>801149.90322580643</v>
      </c>
      <c r="K273" s="13">
        <f t="shared" si="21"/>
        <v>0.74723598337198793</v>
      </c>
      <c r="L273" s="2">
        <v>548</v>
      </c>
      <c r="M273" s="13">
        <f t="shared" si="22"/>
        <v>0.50600184672206838</v>
      </c>
      <c r="N273" s="27"/>
      <c r="O273" s="15">
        <v>316508</v>
      </c>
      <c r="P273" s="8">
        <f t="shared" si="23"/>
        <v>10209.935483870968</v>
      </c>
      <c r="Q273" s="9">
        <f t="shared" si="24"/>
        <v>105.01056845324605</v>
      </c>
      <c r="R273" s="8">
        <v>1050000</v>
      </c>
    </row>
    <row r="274" spans="1:21" x14ac:dyDescent="0.25">
      <c r="A274" s="3">
        <v>41518</v>
      </c>
      <c r="B274" s="2">
        <v>30</v>
      </c>
      <c r="C274" s="8">
        <v>32924971</v>
      </c>
      <c r="D274" s="8">
        <f t="shared" si="18"/>
        <v>1097499.0333333334</v>
      </c>
      <c r="E274" s="9">
        <v>102.38</v>
      </c>
      <c r="F274" s="2">
        <v>1083</v>
      </c>
      <c r="G274" s="8">
        <v>3170434</v>
      </c>
      <c r="H274" s="12">
        <f t="shared" si="19"/>
        <v>1.1065529603098849</v>
      </c>
      <c r="I274" s="8">
        <v>23887929</v>
      </c>
      <c r="J274" s="8">
        <f t="shared" si="20"/>
        <v>796264.3</v>
      </c>
      <c r="K274" s="13">
        <f t="shared" si="21"/>
        <v>0.72552619712254263</v>
      </c>
      <c r="L274" s="2">
        <v>548</v>
      </c>
      <c r="M274" s="13">
        <f t="shared" si="22"/>
        <v>0.50600184672206838</v>
      </c>
      <c r="N274" s="27"/>
      <c r="O274" s="15">
        <v>299683</v>
      </c>
      <c r="P274" s="8">
        <f t="shared" si="23"/>
        <v>9989.4333333333325</v>
      </c>
      <c r="Q274" s="9">
        <f t="shared" si="24"/>
        <v>109.865995068122</v>
      </c>
      <c r="R274" s="8">
        <v>1050000</v>
      </c>
    </row>
    <row r="275" spans="1:21" x14ac:dyDescent="0.25">
      <c r="A275" s="3">
        <v>41548</v>
      </c>
      <c r="B275" s="2">
        <v>31</v>
      </c>
      <c r="C275" s="8">
        <v>33732902</v>
      </c>
      <c r="D275" s="8">
        <f t="shared" si="18"/>
        <v>1088158.1290322582</v>
      </c>
      <c r="E275" s="9">
        <v>96.19</v>
      </c>
      <c r="F275" s="2">
        <v>1083</v>
      </c>
      <c r="G275" s="8">
        <v>2560543</v>
      </c>
      <c r="H275" s="12">
        <f t="shared" si="19"/>
        <v>1.082141457436699</v>
      </c>
      <c r="I275" s="8">
        <v>25224473</v>
      </c>
      <c r="J275" s="8">
        <f t="shared" si="20"/>
        <v>813692.67741935479</v>
      </c>
      <c r="K275" s="13">
        <f t="shared" si="21"/>
        <v>0.74777061872708139</v>
      </c>
      <c r="L275" s="2">
        <v>550</v>
      </c>
      <c r="M275" s="13">
        <f t="shared" si="22"/>
        <v>0.50784856879039708</v>
      </c>
      <c r="N275" s="27"/>
      <c r="O275" s="15">
        <v>313199</v>
      </c>
      <c r="P275" s="8">
        <f t="shared" si="23"/>
        <v>10103.193548387097</v>
      </c>
      <c r="Q275" s="9">
        <f t="shared" si="24"/>
        <v>107.70437325789675</v>
      </c>
      <c r="R275" s="8">
        <v>1050000</v>
      </c>
    </row>
    <row r="276" spans="1:21" x14ac:dyDescent="0.25">
      <c r="A276" s="3">
        <v>41579</v>
      </c>
      <c r="B276" s="2">
        <v>30</v>
      </c>
      <c r="C276" s="8">
        <v>32845396</v>
      </c>
      <c r="D276" s="8">
        <f t="shared" si="18"/>
        <v>1094846.5333333334</v>
      </c>
      <c r="E276" s="9">
        <v>89.13</v>
      </c>
      <c r="F276" s="2">
        <v>1084</v>
      </c>
      <c r="G276" s="8">
        <v>2374857</v>
      </c>
      <c r="H276" s="12">
        <f t="shared" si="19"/>
        <v>1.0779394483307303</v>
      </c>
      <c r="I276" s="8">
        <v>24761096</v>
      </c>
      <c r="J276" s="8">
        <f t="shared" si="20"/>
        <v>825369.8666666667</v>
      </c>
      <c r="K276" s="13">
        <f t="shared" si="21"/>
        <v>0.7538680915888486</v>
      </c>
      <c r="L276" s="2">
        <v>553</v>
      </c>
      <c r="M276" s="13">
        <f t="shared" si="22"/>
        <v>0.51014760147601479</v>
      </c>
      <c r="N276" s="27"/>
      <c r="O276" s="15">
        <v>305139</v>
      </c>
      <c r="P276" s="8">
        <f t="shared" si="23"/>
        <v>10171.299999999999</v>
      </c>
      <c r="Q276" s="9">
        <f t="shared" si="24"/>
        <v>107.6407669947139</v>
      </c>
      <c r="R276" s="8">
        <v>1050000</v>
      </c>
    </row>
    <row r="277" spans="1:21" x14ac:dyDescent="0.25">
      <c r="A277" s="3">
        <v>41609</v>
      </c>
      <c r="B277" s="2">
        <v>31</v>
      </c>
      <c r="C277" s="8">
        <v>34191232</v>
      </c>
      <c r="D277" s="8">
        <f t="shared" si="18"/>
        <v>1102942.9677419355</v>
      </c>
      <c r="E277" s="9">
        <v>91.65</v>
      </c>
      <c r="F277" s="2">
        <v>1084</v>
      </c>
      <c r="G277" s="8">
        <v>2359407</v>
      </c>
      <c r="H277" s="12">
        <f t="shared" si="19"/>
        <v>1.0741210093986129</v>
      </c>
      <c r="I277" s="8">
        <v>25950279</v>
      </c>
      <c r="J277" s="8">
        <f t="shared" si="20"/>
        <v>837105.77419354836</v>
      </c>
      <c r="K277" s="13">
        <f t="shared" si="21"/>
        <v>0.75897466929533275</v>
      </c>
      <c r="L277" s="2">
        <v>560</v>
      </c>
      <c r="M277" s="13">
        <f t="shared" si="22"/>
        <v>0.51660516605166051</v>
      </c>
      <c r="N277" s="27"/>
      <c r="O277" s="15">
        <v>318226</v>
      </c>
      <c r="P277" s="8">
        <f t="shared" si="23"/>
        <v>10265.354838709678</v>
      </c>
      <c r="Q277" s="9">
        <f t="shared" si="24"/>
        <v>107.44323845317479</v>
      </c>
      <c r="R277" s="8">
        <v>1050000</v>
      </c>
    </row>
    <row r="278" spans="1:21" x14ac:dyDescent="0.25">
      <c r="A278" s="3">
        <v>41640</v>
      </c>
      <c r="B278" s="2">
        <v>31</v>
      </c>
      <c r="C278" s="8">
        <v>33780308</v>
      </c>
      <c r="D278" s="8">
        <f t="shared" ref="D278:D341" si="25">+C278/B278</f>
        <v>1089687.3548387096</v>
      </c>
      <c r="E278" s="9">
        <v>88.56</v>
      </c>
      <c r="F278" s="2">
        <v>1080</v>
      </c>
      <c r="G278" s="8">
        <v>2140328</v>
      </c>
      <c r="H278" s="12">
        <f t="shared" ref="H278:H341" si="26">+(C278)/(C278-G278)</f>
        <v>1.0676463133036114</v>
      </c>
      <c r="I278" s="8">
        <v>25681367</v>
      </c>
      <c r="J278" s="8">
        <f t="shared" ref="J278:J341" si="27">+I278/B278</f>
        <v>828431.19354838715</v>
      </c>
      <c r="K278" s="13">
        <f t="shared" ref="K278:K396" si="28">+I278/C278</f>
        <v>0.7602466798112083</v>
      </c>
      <c r="L278" s="2">
        <v>557</v>
      </c>
      <c r="M278" s="13">
        <f t="shared" ref="M278:M396" si="29">+L278/F278</f>
        <v>0.51574074074074072</v>
      </c>
      <c r="N278" s="27"/>
      <c r="O278" s="15">
        <v>310837</v>
      </c>
      <c r="P278" s="8">
        <f t="shared" si="23"/>
        <v>10027</v>
      </c>
      <c r="Q278" s="9">
        <f t="shared" si="24"/>
        <v>108.67531214109002</v>
      </c>
      <c r="R278" s="8">
        <v>1072000</v>
      </c>
      <c r="S278" s="4">
        <f t="shared" ref="S278:S356" si="30">D278-R278</f>
        <v>17687.35483870958</v>
      </c>
      <c r="T278" s="21">
        <f t="shared" ref="T278:T313" si="31">S278*0.05*B278</f>
        <v>27415.399999999849</v>
      </c>
      <c r="U278" s="16">
        <f>T278</f>
        <v>27415.399999999849</v>
      </c>
    </row>
    <row r="279" spans="1:21" x14ac:dyDescent="0.25">
      <c r="A279" s="3">
        <v>41671</v>
      </c>
      <c r="B279" s="2">
        <v>28</v>
      </c>
      <c r="C279" s="8">
        <v>31221548</v>
      </c>
      <c r="D279" s="8">
        <f t="shared" si="25"/>
        <v>1115055.2857142857</v>
      </c>
      <c r="E279" s="9">
        <v>94.18</v>
      </c>
      <c r="F279" s="2">
        <v>1084</v>
      </c>
      <c r="G279" s="8">
        <v>1956403</v>
      </c>
      <c r="H279" s="12">
        <f t="shared" si="26"/>
        <v>1.06685095870873</v>
      </c>
      <c r="I279" s="8">
        <v>23982802</v>
      </c>
      <c r="J279" s="8">
        <f t="shared" si="27"/>
        <v>856528.64285714284</v>
      </c>
      <c r="K279" s="13">
        <f t="shared" si="28"/>
        <v>0.76814903604395268</v>
      </c>
      <c r="L279" s="2">
        <v>558</v>
      </c>
      <c r="M279" s="13">
        <f t="shared" si="29"/>
        <v>0.51476014760147604</v>
      </c>
      <c r="N279" s="27"/>
      <c r="O279" s="15">
        <v>285920</v>
      </c>
      <c r="P279" s="8">
        <f t="shared" si="23"/>
        <v>10211.428571428571</v>
      </c>
      <c r="Q279" s="9">
        <f t="shared" si="24"/>
        <v>109.19679630665921</v>
      </c>
      <c r="R279" s="8">
        <v>1072000</v>
      </c>
      <c r="S279" s="4">
        <f t="shared" si="30"/>
        <v>43055.285714285681</v>
      </c>
      <c r="T279" s="21">
        <f t="shared" si="31"/>
        <v>60277.399999999958</v>
      </c>
      <c r="U279" s="16">
        <f>T279+U278</f>
        <v>87692.799999999814</v>
      </c>
    </row>
    <row r="280" spans="1:21" x14ac:dyDescent="0.25">
      <c r="A280" s="3">
        <v>41699</v>
      </c>
      <c r="B280" s="2">
        <v>31</v>
      </c>
      <c r="C280" s="8">
        <v>32958737</v>
      </c>
      <c r="D280" s="8">
        <f t="shared" si="25"/>
        <v>1063185.064516129</v>
      </c>
      <c r="E280" s="9">
        <v>95.22</v>
      </c>
      <c r="F280" s="2">
        <v>1067</v>
      </c>
      <c r="G280" s="8">
        <v>2113800</v>
      </c>
      <c r="H280" s="12">
        <f t="shared" si="26"/>
        <v>1.0685298854719658</v>
      </c>
      <c r="I280" s="8">
        <v>25023541</v>
      </c>
      <c r="J280" s="8">
        <f t="shared" si="27"/>
        <v>807211</v>
      </c>
      <c r="K280" s="13">
        <f t="shared" si="28"/>
        <v>0.75923846839155273</v>
      </c>
      <c r="L280" s="2">
        <v>573</v>
      </c>
      <c r="M280" s="13">
        <f t="shared" si="29"/>
        <v>0.53701968134957823</v>
      </c>
      <c r="N280" s="27"/>
      <c r="O280" s="15">
        <v>296885</v>
      </c>
      <c r="P280" s="8">
        <f t="shared" si="23"/>
        <v>9576.9354838709678</v>
      </c>
      <c r="Q280" s="9">
        <f t="shared" si="24"/>
        <v>111.0151641207875</v>
      </c>
      <c r="R280" s="8">
        <v>1072000</v>
      </c>
      <c r="S280" s="4">
        <f t="shared" si="30"/>
        <v>-8814.9354838710278</v>
      </c>
      <c r="T280" s="21">
        <f t="shared" si="31"/>
        <v>-13663.150000000094</v>
      </c>
      <c r="U280" s="16">
        <f t="shared" ref="U280:U325" si="32">T280+U279</f>
        <v>74029.649999999718</v>
      </c>
    </row>
    <row r="281" spans="1:21" x14ac:dyDescent="0.25">
      <c r="A281" s="3">
        <v>41730</v>
      </c>
      <c r="B281" s="2">
        <v>30</v>
      </c>
      <c r="C281" s="8">
        <v>33389122</v>
      </c>
      <c r="D281" s="8">
        <f t="shared" si="25"/>
        <v>1112970.7333333334</v>
      </c>
      <c r="E281" s="9">
        <v>96.94</v>
      </c>
      <c r="F281" s="2">
        <v>1066</v>
      </c>
      <c r="G281" s="8">
        <v>2265814</v>
      </c>
      <c r="H281" s="12">
        <f t="shared" si="26"/>
        <v>1.0728011945259803</v>
      </c>
      <c r="I281" s="8">
        <v>25467849</v>
      </c>
      <c r="J281" s="8">
        <f t="shared" si="27"/>
        <v>848928.3</v>
      </c>
      <c r="K281" s="13">
        <f t="shared" si="28"/>
        <v>0.76275887098798223</v>
      </c>
      <c r="L281" s="2">
        <v>573</v>
      </c>
      <c r="M281" s="13">
        <f t="shared" si="29"/>
        <v>0.53752345215759845</v>
      </c>
      <c r="N281" s="27"/>
      <c r="O281" s="15">
        <v>300730</v>
      </c>
      <c r="P281" s="8">
        <f t="shared" si="23"/>
        <v>10024.333333333334</v>
      </c>
      <c r="Q281" s="9">
        <f t="shared" si="24"/>
        <v>111.02690785754663</v>
      </c>
      <c r="R281" s="8">
        <v>1072000</v>
      </c>
      <c r="S281" s="4">
        <f t="shared" si="30"/>
        <v>40970.733333333395</v>
      </c>
      <c r="T281" s="21">
        <f t="shared" si="31"/>
        <v>61456.1000000001</v>
      </c>
      <c r="U281" s="16">
        <f t="shared" si="32"/>
        <v>135485.74999999983</v>
      </c>
    </row>
    <row r="282" spans="1:21" x14ac:dyDescent="0.25">
      <c r="A282" s="3">
        <v>41760</v>
      </c>
      <c r="B282" s="2">
        <v>31</v>
      </c>
      <c r="C282" s="8">
        <v>34663255</v>
      </c>
      <c r="D282" s="8">
        <f t="shared" si="25"/>
        <v>1118169.5161290322</v>
      </c>
      <c r="E282" s="9">
        <v>95.06</v>
      </c>
      <c r="F282" s="2">
        <v>1069</v>
      </c>
      <c r="G282" s="8">
        <v>2899716</v>
      </c>
      <c r="H282" s="12">
        <f t="shared" si="26"/>
        <v>1.0912907091366615</v>
      </c>
      <c r="I282" s="8">
        <v>25911514</v>
      </c>
      <c r="J282" s="8">
        <f t="shared" si="27"/>
        <v>835855.29032258061</v>
      </c>
      <c r="K282" s="13">
        <f t="shared" si="28"/>
        <v>0.74752108536835327</v>
      </c>
      <c r="L282" s="2">
        <v>577</v>
      </c>
      <c r="M282" s="13">
        <f t="shared" si="29"/>
        <v>0.53975678203928901</v>
      </c>
      <c r="N282" s="27"/>
      <c r="O282" s="15">
        <v>308476</v>
      </c>
      <c r="P282" s="8">
        <f t="shared" ref="P282:P345" si="33">+O282/B282</f>
        <v>9950.8387096774186</v>
      </c>
      <c r="Q282" s="9">
        <f t="shared" ref="Q282:Q345" si="34">+(D282-(N282/B282))/P282</f>
        <v>112.36937395453779</v>
      </c>
      <c r="R282" s="8">
        <v>1072000</v>
      </c>
      <c r="S282" s="4">
        <f t="shared" si="30"/>
        <v>46169.516129032243</v>
      </c>
      <c r="T282" s="21">
        <f t="shared" si="31"/>
        <v>71562.749999999985</v>
      </c>
      <c r="U282" s="16">
        <f t="shared" si="32"/>
        <v>207048.49999999983</v>
      </c>
    </row>
    <row r="283" spans="1:21" x14ac:dyDescent="0.25">
      <c r="A283" s="3">
        <v>41791</v>
      </c>
      <c r="B283" s="2">
        <v>30</v>
      </c>
      <c r="C283" s="8">
        <v>33985170</v>
      </c>
      <c r="D283" s="8">
        <f t="shared" si="25"/>
        <v>1132839</v>
      </c>
      <c r="E283" s="9">
        <v>97.93</v>
      </c>
      <c r="F283" s="2">
        <v>1063</v>
      </c>
      <c r="G283" s="8">
        <v>3082841</v>
      </c>
      <c r="H283" s="12">
        <f t="shared" si="26"/>
        <v>1.0997607979644513</v>
      </c>
      <c r="I283" s="8">
        <v>25340587</v>
      </c>
      <c r="J283" s="8">
        <f t="shared" si="27"/>
        <v>844686.23333333328</v>
      </c>
      <c r="K283" s="13">
        <f t="shared" si="28"/>
        <v>0.74563661149848592</v>
      </c>
      <c r="L283" s="2">
        <v>581</v>
      </c>
      <c r="M283" s="13">
        <f t="shared" si="29"/>
        <v>0.5465663217309501</v>
      </c>
      <c r="N283" s="27"/>
      <c r="O283" s="14">
        <v>308969</v>
      </c>
      <c r="P283" s="8">
        <f t="shared" si="33"/>
        <v>10298.966666666667</v>
      </c>
      <c r="Q283" s="9">
        <f t="shared" si="34"/>
        <v>109.99540406966395</v>
      </c>
      <c r="R283" s="8">
        <v>1072000</v>
      </c>
      <c r="S283" s="4">
        <f t="shared" si="30"/>
        <v>60839</v>
      </c>
      <c r="T283" s="21">
        <f t="shared" si="31"/>
        <v>91258.500000000015</v>
      </c>
      <c r="U283" s="16">
        <f t="shared" si="32"/>
        <v>298306.99999999983</v>
      </c>
    </row>
    <row r="284" spans="1:21" x14ac:dyDescent="0.25">
      <c r="A284" s="3">
        <v>41821</v>
      </c>
      <c r="B284" s="2">
        <v>31</v>
      </c>
      <c r="C284" s="8">
        <v>34808297</v>
      </c>
      <c r="D284" s="8">
        <f t="shared" si="25"/>
        <v>1122848.2903225806</v>
      </c>
      <c r="E284" s="9">
        <v>95.2</v>
      </c>
      <c r="F284" s="2">
        <v>1063</v>
      </c>
      <c r="G284" s="8">
        <v>2819123</v>
      </c>
      <c r="H284" s="12">
        <f t="shared" si="26"/>
        <v>1.0881274083538388</v>
      </c>
      <c r="I284" s="8">
        <v>26222048</v>
      </c>
      <c r="J284" s="8">
        <f t="shared" si="27"/>
        <v>845872.51612903224</v>
      </c>
      <c r="K284" s="13">
        <f t="shared" si="28"/>
        <v>0.7533275184361935</v>
      </c>
      <c r="L284" s="2">
        <v>581</v>
      </c>
      <c r="M284" s="13">
        <f t="shared" si="29"/>
        <v>0.5465663217309501</v>
      </c>
      <c r="N284" s="27"/>
      <c r="O284" s="14">
        <v>312799</v>
      </c>
      <c r="P284" s="8">
        <f t="shared" si="33"/>
        <v>10090.290322580646</v>
      </c>
      <c r="Q284" s="9">
        <f t="shared" si="34"/>
        <v>111.28007762173152</v>
      </c>
      <c r="R284" s="8">
        <v>1072000</v>
      </c>
      <c r="S284" s="4">
        <f t="shared" si="30"/>
        <v>50848.290322580608</v>
      </c>
      <c r="T284" s="21">
        <f t="shared" si="31"/>
        <v>78814.849999999948</v>
      </c>
      <c r="U284" s="16">
        <f t="shared" si="32"/>
        <v>377121.84999999974</v>
      </c>
    </row>
    <row r="285" spans="1:21" x14ac:dyDescent="0.25">
      <c r="A285" s="3">
        <v>41852</v>
      </c>
      <c r="B285" s="2">
        <v>31</v>
      </c>
      <c r="C285" s="8">
        <v>35526355</v>
      </c>
      <c r="D285" s="8">
        <f t="shared" si="25"/>
        <v>1146011.4516129033</v>
      </c>
      <c r="E285" s="9">
        <v>88.93</v>
      </c>
      <c r="F285" s="2">
        <v>1065</v>
      </c>
      <c r="G285" s="8">
        <v>2695358</v>
      </c>
      <c r="H285" s="12">
        <f t="shared" si="26"/>
        <v>1.0820979637018029</v>
      </c>
      <c r="I285" s="8">
        <v>27020471</v>
      </c>
      <c r="J285" s="8">
        <f t="shared" si="27"/>
        <v>871628.09677419357</v>
      </c>
      <c r="K285" s="13">
        <f t="shared" si="28"/>
        <v>0.76057538129087543</v>
      </c>
      <c r="L285" s="2">
        <v>587</v>
      </c>
      <c r="M285" s="13">
        <f t="shared" si="29"/>
        <v>0.5511737089201878</v>
      </c>
      <c r="N285" s="27"/>
      <c r="O285" s="14">
        <v>319514</v>
      </c>
      <c r="P285" s="8">
        <f t="shared" si="33"/>
        <v>10306.903225806451</v>
      </c>
      <c r="Q285" s="9">
        <f t="shared" si="34"/>
        <v>111.18872725451781</v>
      </c>
      <c r="R285" s="8">
        <v>1072000</v>
      </c>
      <c r="S285" s="4">
        <f t="shared" si="30"/>
        <v>74011.451612903271</v>
      </c>
      <c r="T285" s="21">
        <f t="shared" si="31"/>
        <v>114717.75000000007</v>
      </c>
      <c r="U285" s="16">
        <f t="shared" si="32"/>
        <v>491839.5999999998</v>
      </c>
    </row>
    <row r="286" spans="1:21" x14ac:dyDescent="0.25">
      <c r="A286" s="3">
        <v>41883</v>
      </c>
      <c r="B286" s="2">
        <v>30</v>
      </c>
      <c r="C286" s="8">
        <v>34284378</v>
      </c>
      <c r="D286" s="8">
        <f t="shared" si="25"/>
        <v>1142812.6000000001</v>
      </c>
      <c r="E286" s="9">
        <v>85.83</v>
      </c>
      <c r="F286" s="2">
        <v>1065</v>
      </c>
      <c r="G286" s="8">
        <v>2685934</v>
      </c>
      <c r="H286" s="12">
        <f t="shared" si="26"/>
        <v>1.0850020969386973</v>
      </c>
      <c r="I286" s="8">
        <v>26020339</v>
      </c>
      <c r="J286" s="8">
        <f t="shared" si="27"/>
        <v>867344.6333333333</v>
      </c>
      <c r="K286" s="13">
        <f t="shared" si="28"/>
        <v>0.75895613448200805</v>
      </c>
      <c r="L286" s="2">
        <v>587</v>
      </c>
      <c r="M286" s="13">
        <f t="shared" si="29"/>
        <v>0.5511737089201878</v>
      </c>
      <c r="N286" s="27"/>
      <c r="O286" s="14">
        <v>306880</v>
      </c>
      <c r="P286" s="8">
        <f t="shared" si="33"/>
        <v>10229.333333333334</v>
      </c>
      <c r="Q286" s="9">
        <f t="shared" si="34"/>
        <v>111.71916710114704</v>
      </c>
      <c r="R286" s="8">
        <v>1072000</v>
      </c>
      <c r="S286" s="4">
        <f t="shared" si="30"/>
        <v>70812.600000000093</v>
      </c>
      <c r="T286" s="21">
        <f t="shared" si="31"/>
        <v>106218.90000000014</v>
      </c>
      <c r="U286" s="16">
        <f t="shared" si="32"/>
        <v>598058.5</v>
      </c>
    </row>
    <row r="287" spans="1:21" x14ac:dyDescent="0.25">
      <c r="A287" s="3">
        <v>41913</v>
      </c>
      <c r="B287" s="2">
        <v>31</v>
      </c>
      <c r="C287" s="8">
        <v>34826727</v>
      </c>
      <c r="D287" s="8">
        <f t="shared" si="25"/>
        <v>1123442.8064516129</v>
      </c>
      <c r="E287" s="9">
        <v>77.19</v>
      </c>
      <c r="F287" s="2">
        <v>1055</v>
      </c>
      <c r="G287" s="8">
        <v>2600153</v>
      </c>
      <c r="H287" s="12">
        <f t="shared" si="26"/>
        <v>1.0806835067233644</v>
      </c>
      <c r="I287" s="8">
        <v>26432978</v>
      </c>
      <c r="J287" s="8">
        <f t="shared" si="27"/>
        <v>852676.70967741939</v>
      </c>
      <c r="K287" s="13">
        <f t="shared" si="28"/>
        <v>0.75898541944524389</v>
      </c>
      <c r="L287" s="2">
        <v>585</v>
      </c>
      <c r="M287" s="13">
        <f t="shared" si="29"/>
        <v>0.5545023696682464</v>
      </c>
      <c r="N287" s="27"/>
      <c r="O287" s="14">
        <v>312622</v>
      </c>
      <c r="P287" s="8">
        <f t="shared" si="33"/>
        <v>10084.58064516129</v>
      </c>
      <c r="Q287" s="9">
        <f t="shared" si="34"/>
        <v>111.40203504551823</v>
      </c>
      <c r="R287" s="8">
        <v>1072000</v>
      </c>
      <c r="S287" s="4">
        <f t="shared" si="30"/>
        <v>51442.806451612851</v>
      </c>
      <c r="T287" s="21">
        <f t="shared" si="31"/>
        <v>79736.349999999919</v>
      </c>
      <c r="U287" s="16">
        <f t="shared" si="32"/>
        <v>677794.84999999986</v>
      </c>
    </row>
    <row r="288" spans="1:21" x14ac:dyDescent="0.25">
      <c r="A288" s="3">
        <v>41944</v>
      </c>
      <c r="B288" s="2">
        <v>30</v>
      </c>
      <c r="C288" s="8">
        <v>34800357</v>
      </c>
      <c r="D288" s="8">
        <f t="shared" si="25"/>
        <v>1160011.8999999999</v>
      </c>
      <c r="E288" s="9">
        <v>68.39</v>
      </c>
      <c r="F288" s="2">
        <v>1059</v>
      </c>
      <c r="G288" s="8">
        <v>2827861</v>
      </c>
      <c r="H288" s="12">
        <f t="shared" si="26"/>
        <v>1.0884466761681666</v>
      </c>
      <c r="I288" s="8">
        <v>26407459</v>
      </c>
      <c r="J288" s="8">
        <f t="shared" si="27"/>
        <v>880248.6333333333</v>
      </c>
      <c r="K288" s="13">
        <f t="shared" si="28"/>
        <v>0.75882724421476477</v>
      </c>
      <c r="L288" s="2">
        <v>590</v>
      </c>
      <c r="M288" s="13">
        <f t="shared" si="29"/>
        <v>0.5571293673276676</v>
      </c>
      <c r="N288" s="27"/>
      <c r="O288" s="14">
        <v>310313</v>
      </c>
      <c r="P288" s="8">
        <f t="shared" si="33"/>
        <v>10343.766666666666</v>
      </c>
      <c r="Q288" s="9">
        <f t="shared" si="34"/>
        <v>112.14598486044734</v>
      </c>
      <c r="R288" s="8">
        <v>1072000</v>
      </c>
      <c r="S288" s="4">
        <f t="shared" si="30"/>
        <v>88011.899999999907</v>
      </c>
      <c r="T288" s="21">
        <f t="shared" si="31"/>
        <v>132017.84999999986</v>
      </c>
      <c r="U288" s="16">
        <f t="shared" si="32"/>
        <v>809812.69999999972</v>
      </c>
    </row>
    <row r="289" spans="1:21" x14ac:dyDescent="0.25">
      <c r="A289" s="3">
        <v>41974</v>
      </c>
      <c r="B289" s="2">
        <v>31</v>
      </c>
      <c r="C289" s="8">
        <v>35411939</v>
      </c>
      <c r="D289" s="8">
        <f t="shared" si="25"/>
        <v>1142320.6129032257</v>
      </c>
      <c r="E289" s="9">
        <v>51.74</v>
      </c>
      <c r="F289" s="2">
        <v>1057</v>
      </c>
      <c r="G289" s="8">
        <v>2691487</v>
      </c>
      <c r="H289" s="12">
        <f t="shared" si="26"/>
        <v>1.0822570238332894</v>
      </c>
      <c r="I289" s="8">
        <v>26997681</v>
      </c>
      <c r="J289" s="8">
        <f t="shared" si="27"/>
        <v>870892.93548387091</v>
      </c>
      <c r="K289" s="13">
        <f t="shared" si="28"/>
        <v>0.76238923262575375</v>
      </c>
      <c r="L289" s="2">
        <v>588</v>
      </c>
      <c r="M289" s="13">
        <f t="shared" si="29"/>
        <v>0.55629139072847678</v>
      </c>
      <c r="N289" s="27"/>
      <c r="O289" s="14">
        <v>316355</v>
      </c>
      <c r="P289" s="8">
        <f t="shared" si="33"/>
        <v>10205</v>
      </c>
      <c r="Q289" s="9">
        <f t="shared" si="34"/>
        <v>111.93734570340281</v>
      </c>
      <c r="R289" s="8">
        <v>1072000</v>
      </c>
      <c r="S289" s="4">
        <f t="shared" si="30"/>
        <v>70320.612903225701</v>
      </c>
      <c r="T289" s="21">
        <f t="shared" si="31"/>
        <v>108996.94999999984</v>
      </c>
      <c r="U289" s="22">
        <f t="shared" si="32"/>
        <v>918809.64999999956</v>
      </c>
    </row>
    <row r="290" spans="1:21" x14ac:dyDescent="0.25">
      <c r="A290" s="3">
        <v>42005</v>
      </c>
      <c r="B290" s="2">
        <v>31</v>
      </c>
      <c r="C290" s="8">
        <v>35087077</v>
      </c>
      <c r="D290" s="8">
        <f t="shared" si="25"/>
        <v>1131841.1935483871</v>
      </c>
      <c r="E290" s="9">
        <v>40.78</v>
      </c>
      <c r="F290" s="2">
        <v>1056</v>
      </c>
      <c r="G290" s="8">
        <v>2590834</v>
      </c>
      <c r="H290" s="12">
        <f t="shared" si="26"/>
        <v>1.0797271856934354</v>
      </c>
      <c r="I290" s="8">
        <v>26783315</v>
      </c>
      <c r="J290" s="8">
        <f t="shared" si="27"/>
        <v>863977.90322580643</v>
      </c>
      <c r="K290" s="13">
        <f t="shared" si="28"/>
        <v>0.76333845079201101</v>
      </c>
      <c r="L290" s="2">
        <v>589</v>
      </c>
      <c r="M290" s="13">
        <f t="shared" si="29"/>
        <v>0.55776515151515149</v>
      </c>
      <c r="N290" s="27"/>
      <c r="O290" s="14">
        <v>320909</v>
      </c>
      <c r="P290" s="8">
        <f t="shared" si="33"/>
        <v>10351.903225806451</v>
      </c>
      <c r="Q290" s="9">
        <f t="shared" si="34"/>
        <v>109.33653154009393</v>
      </c>
      <c r="R290" s="8">
        <v>1150000</v>
      </c>
      <c r="S290" s="4">
        <f t="shared" si="30"/>
        <v>-18158.806451612851</v>
      </c>
      <c r="T290" s="21">
        <f t="shared" si="31"/>
        <v>-28146.149999999921</v>
      </c>
      <c r="U290" s="16">
        <f>T290</f>
        <v>-28146.149999999921</v>
      </c>
    </row>
    <row r="291" spans="1:21" x14ac:dyDescent="0.25">
      <c r="A291" s="3">
        <v>42036</v>
      </c>
      <c r="B291" s="2">
        <v>28</v>
      </c>
      <c r="C291" s="8">
        <v>31675102</v>
      </c>
      <c r="D291" s="8">
        <f t="shared" si="25"/>
        <v>1131253.642857143</v>
      </c>
      <c r="E291" s="9">
        <v>44.34</v>
      </c>
      <c r="F291" s="2">
        <v>1054</v>
      </c>
      <c r="G291" s="8">
        <v>2275971</v>
      </c>
      <c r="H291" s="12">
        <f t="shared" si="26"/>
        <v>1.0774162678481891</v>
      </c>
      <c r="I291" s="8">
        <v>24305304</v>
      </c>
      <c r="J291" s="8">
        <f t="shared" si="27"/>
        <v>868046.57142857148</v>
      </c>
      <c r="K291" s="13">
        <f t="shared" si="28"/>
        <v>0.76733151482827111</v>
      </c>
      <c r="L291" s="2">
        <v>588</v>
      </c>
      <c r="M291" s="13">
        <f t="shared" si="29"/>
        <v>0.55787476280834913</v>
      </c>
      <c r="N291" s="27"/>
      <c r="O291" s="14">
        <v>281460</v>
      </c>
      <c r="P291" s="8">
        <f t="shared" si="33"/>
        <v>10052.142857142857</v>
      </c>
      <c r="Q291" s="9">
        <f t="shared" si="34"/>
        <v>112.53855610033399</v>
      </c>
      <c r="R291" s="8">
        <v>1170160</v>
      </c>
      <c r="S291" s="4">
        <f t="shared" si="30"/>
        <v>-38906.357142857043</v>
      </c>
      <c r="T291" s="21">
        <f t="shared" si="31"/>
        <v>-54468.899999999863</v>
      </c>
      <c r="U291" s="16">
        <f t="shared" si="32"/>
        <v>-82615.049999999785</v>
      </c>
    </row>
    <row r="292" spans="1:21" x14ac:dyDescent="0.25">
      <c r="A292" s="3">
        <v>42064</v>
      </c>
      <c r="B292" s="2">
        <v>31</v>
      </c>
      <c r="C292" s="8">
        <v>35405624</v>
      </c>
      <c r="D292" s="8">
        <f t="shared" si="25"/>
        <v>1142116.9032258065</v>
      </c>
      <c r="E292" s="9">
        <v>41.23</v>
      </c>
      <c r="F292" s="2">
        <v>1054</v>
      </c>
      <c r="G292" s="8">
        <v>3529943</v>
      </c>
      <c r="H292" s="12">
        <f t="shared" si="26"/>
        <v>1.110740943856227</v>
      </c>
      <c r="I292" s="8">
        <v>26290841</v>
      </c>
      <c r="J292" s="8">
        <f t="shared" si="27"/>
        <v>848091.6451612903</v>
      </c>
      <c r="K292" s="13">
        <f t="shared" si="28"/>
        <v>0.74256115356136643</v>
      </c>
      <c r="L292" s="2">
        <v>589</v>
      </c>
      <c r="M292" s="13">
        <f t="shared" si="29"/>
        <v>0.55882352941176472</v>
      </c>
      <c r="N292" s="27"/>
      <c r="O292" s="14">
        <v>311374</v>
      </c>
      <c r="P292" s="8">
        <f t="shared" si="33"/>
        <v>10044.322580645161</v>
      </c>
      <c r="Q292" s="9">
        <f t="shared" si="34"/>
        <v>113.70770841496081</v>
      </c>
      <c r="R292" s="8">
        <v>1190320</v>
      </c>
      <c r="S292" s="4">
        <f t="shared" si="30"/>
        <v>-48203.096774193458</v>
      </c>
      <c r="T292" s="21">
        <f t="shared" si="31"/>
        <v>-74714.799999999872</v>
      </c>
      <c r="U292" s="16">
        <f t="shared" si="32"/>
        <v>-157329.84999999966</v>
      </c>
    </row>
    <row r="293" spans="1:21" x14ac:dyDescent="0.25">
      <c r="A293" s="3">
        <v>42095</v>
      </c>
      <c r="B293" s="2">
        <v>30</v>
      </c>
      <c r="C293" s="8">
        <v>33129257</v>
      </c>
      <c r="D293" s="8">
        <f t="shared" si="25"/>
        <v>1104308.5666666667</v>
      </c>
      <c r="E293" s="9">
        <v>47.58</v>
      </c>
      <c r="F293" s="2">
        <v>1053</v>
      </c>
      <c r="G293" s="8">
        <v>3367213</v>
      </c>
      <c r="H293" s="12">
        <f t="shared" si="26"/>
        <v>1.1131378274959878</v>
      </c>
      <c r="I293" s="8">
        <v>24396184</v>
      </c>
      <c r="J293" s="8">
        <f t="shared" si="27"/>
        <v>813206.1333333333</v>
      </c>
      <c r="K293" s="13">
        <f t="shared" si="28"/>
        <v>0.73639393723801294</v>
      </c>
      <c r="L293" s="2">
        <v>590</v>
      </c>
      <c r="M293" s="13">
        <f t="shared" si="29"/>
        <v>0.56030389363722699</v>
      </c>
      <c r="N293" s="27"/>
      <c r="O293" s="14">
        <v>291275</v>
      </c>
      <c r="P293" s="8">
        <f t="shared" si="33"/>
        <v>9709.1666666666661</v>
      </c>
      <c r="Q293" s="9">
        <f t="shared" si="34"/>
        <v>113.73875890481504</v>
      </c>
      <c r="R293" s="8">
        <v>1210480</v>
      </c>
      <c r="S293" s="4">
        <f t="shared" si="30"/>
        <v>-106171.43333333335</v>
      </c>
      <c r="T293" s="21">
        <f t="shared" si="31"/>
        <v>-159257.15000000002</v>
      </c>
      <c r="U293" s="16">
        <f t="shared" si="32"/>
        <v>-316586.99999999965</v>
      </c>
    </row>
    <row r="294" spans="1:21" x14ac:dyDescent="0.25">
      <c r="A294" s="3">
        <v>42125</v>
      </c>
      <c r="B294" s="2">
        <v>31</v>
      </c>
      <c r="C294" s="8">
        <v>33746683</v>
      </c>
      <c r="D294" s="8">
        <f t="shared" si="25"/>
        <v>1088602.6774193549</v>
      </c>
      <c r="E294" s="9">
        <v>52.95</v>
      </c>
      <c r="F294" s="2">
        <v>1054</v>
      </c>
      <c r="G294" s="8">
        <v>3352714</v>
      </c>
      <c r="H294" s="12">
        <f t="shared" si="26"/>
        <v>1.1103085286426395</v>
      </c>
      <c r="I294" s="8">
        <v>24892492</v>
      </c>
      <c r="J294" s="8">
        <f t="shared" si="27"/>
        <v>802983.61290322582</v>
      </c>
      <c r="K294" s="13">
        <f t="shared" si="28"/>
        <v>0.73762781367282826</v>
      </c>
      <c r="L294" s="2">
        <v>590</v>
      </c>
      <c r="M294" s="13">
        <f t="shared" si="29"/>
        <v>0.5597722960151803</v>
      </c>
      <c r="N294" s="27"/>
      <c r="O294" s="14">
        <v>293908</v>
      </c>
      <c r="P294" s="8">
        <f t="shared" si="33"/>
        <v>9480.9032258064508</v>
      </c>
      <c r="Q294" s="9">
        <f t="shared" si="34"/>
        <v>114.82056629965841</v>
      </c>
      <c r="R294" s="8">
        <v>1250800</v>
      </c>
      <c r="S294" s="4">
        <f t="shared" si="30"/>
        <v>-162197.32258064509</v>
      </c>
      <c r="T294" s="21">
        <f t="shared" si="31"/>
        <v>-251405.84999999992</v>
      </c>
      <c r="U294" s="16">
        <f t="shared" si="32"/>
        <v>-567992.84999999963</v>
      </c>
    </row>
    <row r="295" spans="1:21" x14ac:dyDescent="0.25">
      <c r="A295" s="3">
        <v>42156</v>
      </c>
      <c r="B295" s="2">
        <v>30</v>
      </c>
      <c r="C295" s="8">
        <v>32625251</v>
      </c>
      <c r="D295" s="8">
        <f t="shared" si="25"/>
        <v>1087508.3666666667</v>
      </c>
      <c r="E295" s="9">
        <v>53.22</v>
      </c>
      <c r="F295" s="2">
        <v>1053</v>
      </c>
      <c r="G295" s="8">
        <v>2850858</v>
      </c>
      <c r="H295" s="12">
        <f t="shared" si="26"/>
        <v>1.0957486522059408</v>
      </c>
      <c r="I295" s="8">
        <v>24460795</v>
      </c>
      <c r="J295" s="8">
        <f t="shared" si="27"/>
        <v>815359.83333333337</v>
      </c>
      <c r="K295" s="13">
        <f t="shared" si="28"/>
        <v>0.74975040038772423</v>
      </c>
      <c r="L295" s="2">
        <v>590</v>
      </c>
      <c r="M295" s="13">
        <f t="shared" si="29"/>
        <v>0.56030389363722699</v>
      </c>
      <c r="N295" s="27"/>
      <c r="O295" s="14">
        <v>287774</v>
      </c>
      <c r="P295" s="8">
        <f t="shared" si="33"/>
        <v>9592.4666666666672</v>
      </c>
      <c r="Q295" s="9">
        <f t="shared" si="34"/>
        <v>113.37108633858514</v>
      </c>
      <c r="R295" s="8">
        <v>1270960</v>
      </c>
      <c r="S295" s="4">
        <f t="shared" si="30"/>
        <v>-183451.6333333333</v>
      </c>
      <c r="T295" s="21">
        <f t="shared" si="31"/>
        <v>-275177.44999999995</v>
      </c>
      <c r="U295" s="16">
        <f t="shared" si="32"/>
        <v>-843170.29999999958</v>
      </c>
    </row>
    <row r="296" spans="1:21" x14ac:dyDescent="0.25">
      <c r="A296" s="3">
        <v>42186</v>
      </c>
      <c r="B296" s="2">
        <v>31</v>
      </c>
      <c r="C296" s="8">
        <v>34170364</v>
      </c>
      <c r="D296" s="8">
        <f t="shared" si="25"/>
        <v>1102269.8064516129</v>
      </c>
      <c r="E296" s="9">
        <v>44.91</v>
      </c>
      <c r="F296" s="2">
        <v>1055</v>
      </c>
      <c r="G296" s="8">
        <v>3028221</v>
      </c>
      <c r="H296" s="12">
        <f t="shared" si="26"/>
        <v>1.0972386839274355</v>
      </c>
      <c r="I296" s="8">
        <v>25621376</v>
      </c>
      <c r="J296" s="8">
        <f t="shared" si="27"/>
        <v>826496</v>
      </c>
      <c r="K296" s="13">
        <f t="shared" si="28"/>
        <v>0.74981279099046183</v>
      </c>
      <c r="L296" s="2">
        <v>591</v>
      </c>
      <c r="M296" s="13">
        <f t="shared" si="29"/>
        <v>0.56018957345971565</v>
      </c>
      <c r="N296" s="27"/>
      <c r="O296" s="14">
        <v>296600</v>
      </c>
      <c r="P296" s="8">
        <f t="shared" si="33"/>
        <v>9567.7419354838712</v>
      </c>
      <c r="Q296" s="9">
        <f t="shared" si="34"/>
        <v>115.2068914362778</v>
      </c>
      <c r="R296" s="8">
        <v>1270960</v>
      </c>
      <c r="S296" s="4">
        <f t="shared" si="30"/>
        <v>-168690.19354838715</v>
      </c>
      <c r="T296" s="21">
        <f t="shared" si="31"/>
        <v>-261469.80000000008</v>
      </c>
      <c r="U296" s="16">
        <f t="shared" si="32"/>
        <v>-1104640.0999999996</v>
      </c>
    </row>
    <row r="297" spans="1:21" x14ac:dyDescent="0.25">
      <c r="A297" s="3">
        <v>42217</v>
      </c>
      <c r="B297" s="2">
        <v>31</v>
      </c>
      <c r="C297" s="8">
        <v>34075450</v>
      </c>
      <c r="D297" s="8">
        <f t="shared" si="25"/>
        <v>1099208.064516129</v>
      </c>
      <c r="E297" s="9">
        <v>36.68</v>
      </c>
      <c r="F297" s="2">
        <v>1052</v>
      </c>
      <c r="G297" s="8">
        <v>2985428</v>
      </c>
      <c r="H297" s="12">
        <f t="shared" si="26"/>
        <v>1.0960252778206461</v>
      </c>
      <c r="I297" s="8">
        <v>25561639</v>
      </c>
      <c r="J297" s="8">
        <f t="shared" si="27"/>
        <v>824569</v>
      </c>
      <c r="K297" s="13">
        <f t="shared" si="28"/>
        <v>0.75014824455729856</v>
      </c>
      <c r="L297" s="2">
        <v>591</v>
      </c>
      <c r="M297" s="13">
        <f t="shared" si="29"/>
        <v>0.56178707224334601</v>
      </c>
      <c r="N297" s="27"/>
      <c r="O297" s="14">
        <v>294724</v>
      </c>
      <c r="P297" s="8">
        <f t="shared" si="33"/>
        <v>9507.2258064516136</v>
      </c>
      <c r="Q297" s="9">
        <f t="shared" si="34"/>
        <v>115.61817157747586</v>
      </c>
      <c r="R297" s="8">
        <v>1270960</v>
      </c>
      <c r="S297" s="4">
        <f t="shared" si="30"/>
        <v>-171751.93548387103</v>
      </c>
      <c r="T297" s="21">
        <f t="shared" si="31"/>
        <v>-266215.50000000006</v>
      </c>
      <c r="U297" s="16">
        <f t="shared" si="32"/>
        <v>-1370855.5999999996</v>
      </c>
    </row>
    <row r="298" spans="1:21" x14ac:dyDescent="0.25">
      <c r="A298" s="3">
        <v>42248</v>
      </c>
      <c r="B298" s="2">
        <v>30</v>
      </c>
      <c r="C298" s="8">
        <v>32367286</v>
      </c>
      <c r="D298" s="8">
        <f t="shared" si="25"/>
        <v>1078909.5333333334</v>
      </c>
      <c r="E298" s="9">
        <v>38.92</v>
      </c>
      <c r="F298" s="2">
        <v>1052</v>
      </c>
      <c r="G298" s="8">
        <v>2556317</v>
      </c>
      <c r="H298" s="12">
        <f t="shared" si="26"/>
        <v>1.0857508858568132</v>
      </c>
      <c r="I298" s="8">
        <v>24511562</v>
      </c>
      <c r="J298" s="8">
        <f t="shared" si="27"/>
        <v>817052.06666666665</v>
      </c>
      <c r="K298" s="13">
        <f t="shared" si="28"/>
        <v>0.75729432489335069</v>
      </c>
      <c r="L298" s="2">
        <v>591</v>
      </c>
      <c r="M298" s="13">
        <f t="shared" si="29"/>
        <v>0.56178707224334601</v>
      </c>
      <c r="N298" s="27"/>
      <c r="O298" s="14">
        <v>280570</v>
      </c>
      <c r="P298" s="8">
        <f t="shared" si="33"/>
        <v>9352.3333333333339</v>
      </c>
      <c r="Q298" s="9">
        <f t="shared" si="34"/>
        <v>115.36260469757993</v>
      </c>
      <c r="R298" s="8">
        <v>1270960</v>
      </c>
      <c r="S298" s="4">
        <f t="shared" si="30"/>
        <v>-192050.46666666656</v>
      </c>
      <c r="T298" s="21">
        <f t="shared" si="31"/>
        <v>-288075.6999999999</v>
      </c>
      <c r="U298" s="16">
        <f t="shared" si="32"/>
        <v>-1658931.2999999996</v>
      </c>
    </row>
    <row r="299" spans="1:21" x14ac:dyDescent="0.25">
      <c r="A299" s="3">
        <v>42278</v>
      </c>
      <c r="B299" s="2">
        <v>31</v>
      </c>
      <c r="C299" s="8">
        <v>32718827</v>
      </c>
      <c r="D299" s="8">
        <f t="shared" si="25"/>
        <v>1055446.0322580645</v>
      </c>
      <c r="E299" s="9">
        <v>39.869999999999997</v>
      </c>
      <c r="F299" s="2">
        <v>1048</v>
      </c>
      <c r="G299" s="8">
        <v>2825595</v>
      </c>
      <c r="H299" s="12">
        <f t="shared" si="26"/>
        <v>1.094522900702072</v>
      </c>
      <c r="I299" s="8">
        <v>24691049</v>
      </c>
      <c r="J299" s="8">
        <f t="shared" si="27"/>
        <v>796485.45161290327</v>
      </c>
      <c r="K299" s="13">
        <f t="shared" si="28"/>
        <v>0.75464346567192031</v>
      </c>
      <c r="L299" s="2">
        <v>594</v>
      </c>
      <c r="M299" s="13">
        <f t="shared" si="29"/>
        <v>0.56679389312977102</v>
      </c>
      <c r="N299" s="27"/>
      <c r="O299" s="14">
        <v>279946</v>
      </c>
      <c r="P299" s="8">
        <f t="shared" si="33"/>
        <v>9030.5161290322576</v>
      </c>
      <c r="Q299" s="9">
        <f t="shared" si="34"/>
        <v>116.87549384524158</v>
      </c>
      <c r="R299" s="8">
        <v>1270960</v>
      </c>
      <c r="S299" s="4">
        <f t="shared" si="30"/>
        <v>-215513.96774193551</v>
      </c>
      <c r="T299" s="21">
        <f t="shared" si="31"/>
        <v>-334046.65000000008</v>
      </c>
      <c r="U299" s="16">
        <f t="shared" si="32"/>
        <v>-1992977.9499999997</v>
      </c>
    </row>
    <row r="300" spans="1:21" x14ac:dyDescent="0.25">
      <c r="A300" s="3">
        <v>42309</v>
      </c>
      <c r="B300" s="2">
        <v>30</v>
      </c>
      <c r="C300" s="8">
        <v>31396057</v>
      </c>
      <c r="D300" s="8">
        <f t="shared" si="25"/>
        <v>1046535.2333333333</v>
      </c>
      <c r="E300" s="9">
        <v>36.26</v>
      </c>
      <c r="F300" s="2">
        <v>1046</v>
      </c>
      <c r="G300" s="8">
        <v>2536675</v>
      </c>
      <c r="H300" s="12">
        <f t="shared" si="26"/>
        <v>1.0878977588639978</v>
      </c>
      <c r="I300" s="8">
        <v>23970818</v>
      </c>
      <c r="J300" s="8">
        <f t="shared" si="27"/>
        <v>799027.26666666672</v>
      </c>
      <c r="K300" s="13">
        <f t="shared" si="28"/>
        <v>0.76349772202286426</v>
      </c>
      <c r="L300" s="2">
        <v>596</v>
      </c>
      <c r="M300" s="13">
        <f t="shared" si="29"/>
        <v>0.5697896749521989</v>
      </c>
      <c r="N300" s="27"/>
      <c r="O300" s="14">
        <v>277725</v>
      </c>
      <c r="P300" s="8">
        <f t="shared" si="33"/>
        <v>9257.5</v>
      </c>
      <c r="Q300" s="9">
        <f t="shared" si="34"/>
        <v>113.04728418399495</v>
      </c>
      <c r="R300" s="8">
        <v>1270960</v>
      </c>
      <c r="S300" s="4">
        <f t="shared" si="30"/>
        <v>-224424.76666666672</v>
      </c>
      <c r="T300" s="21">
        <f t="shared" si="31"/>
        <v>-336637.15000000008</v>
      </c>
      <c r="U300" s="16">
        <f t="shared" si="32"/>
        <v>-2329615.0999999996</v>
      </c>
    </row>
    <row r="301" spans="1:21" x14ac:dyDescent="0.25">
      <c r="A301" s="3">
        <v>42339</v>
      </c>
      <c r="B301" s="2">
        <v>31</v>
      </c>
      <c r="C301" s="8">
        <v>31805633</v>
      </c>
      <c r="D301" s="8">
        <f t="shared" si="25"/>
        <v>1025988.1612903225</v>
      </c>
      <c r="E301" s="9">
        <v>31.69</v>
      </c>
      <c r="F301" s="2">
        <v>1046</v>
      </c>
      <c r="G301" s="8">
        <v>3108082</v>
      </c>
      <c r="H301" s="12">
        <f t="shared" si="26"/>
        <v>1.1083047818261564</v>
      </c>
      <c r="I301" s="8">
        <v>23702875</v>
      </c>
      <c r="J301" s="8">
        <f t="shared" si="27"/>
        <v>764608.87096774194</v>
      </c>
      <c r="K301" s="13">
        <f t="shared" si="28"/>
        <v>0.74524141682701295</v>
      </c>
      <c r="L301" s="2">
        <v>596</v>
      </c>
      <c r="M301" s="13">
        <f t="shared" si="29"/>
        <v>0.5697896749521989</v>
      </c>
      <c r="N301" s="27"/>
      <c r="O301" s="14">
        <v>276027</v>
      </c>
      <c r="P301" s="8">
        <f t="shared" si="33"/>
        <v>8904.0967741935492</v>
      </c>
      <c r="Q301" s="9">
        <f t="shared" si="34"/>
        <v>115.22652856423464</v>
      </c>
      <c r="R301" s="8">
        <v>1271314</v>
      </c>
      <c r="S301" s="4">
        <f t="shared" si="30"/>
        <v>-245325.83870967745</v>
      </c>
      <c r="T301" s="21">
        <f t="shared" si="31"/>
        <v>-380255.0500000001</v>
      </c>
      <c r="U301" s="22">
        <f t="shared" si="32"/>
        <v>-2709870.15</v>
      </c>
    </row>
    <row r="302" spans="1:21" x14ac:dyDescent="0.25">
      <c r="A302" s="3">
        <v>42370</v>
      </c>
      <c r="B302" s="2">
        <v>31</v>
      </c>
      <c r="C302" s="8">
        <v>27901759</v>
      </c>
      <c r="D302" s="8">
        <f t="shared" si="25"/>
        <v>900056.74193548388</v>
      </c>
      <c r="E302" s="9">
        <v>26.78</v>
      </c>
      <c r="F302" s="2">
        <v>1034</v>
      </c>
      <c r="G302" s="8">
        <v>2538557</v>
      </c>
      <c r="H302" s="12">
        <f t="shared" si="26"/>
        <v>1.1000881907576181</v>
      </c>
      <c r="I302" s="8">
        <v>21285940</v>
      </c>
      <c r="J302" s="8">
        <f t="shared" si="27"/>
        <v>686643.22580645164</v>
      </c>
      <c r="K302" s="13">
        <f t="shared" si="28"/>
        <v>0.76288882002027181</v>
      </c>
      <c r="L302" s="2">
        <v>590</v>
      </c>
      <c r="M302" s="13">
        <f t="shared" si="29"/>
        <v>0.57059961315280461</v>
      </c>
      <c r="N302" s="27"/>
      <c r="O302" s="14">
        <v>261876</v>
      </c>
      <c r="P302" s="8">
        <f t="shared" si="33"/>
        <v>8447.6129032258068</v>
      </c>
      <c r="Q302" s="9">
        <f t="shared" si="34"/>
        <v>106.54568956299927</v>
      </c>
      <c r="R302" s="8">
        <v>1055000</v>
      </c>
      <c r="S302" s="4">
        <f t="shared" si="30"/>
        <v>-154943.25806451612</v>
      </c>
      <c r="T302" s="21">
        <f t="shared" si="31"/>
        <v>-240162.05</v>
      </c>
      <c r="U302" s="16">
        <f>T302</f>
        <v>-240162.05</v>
      </c>
    </row>
    <row r="303" spans="1:21" x14ac:dyDescent="0.25">
      <c r="A303" s="3">
        <v>42401</v>
      </c>
      <c r="B303" s="2">
        <v>29</v>
      </c>
      <c r="C303" s="8">
        <v>23522886</v>
      </c>
      <c r="D303" s="8">
        <f t="shared" si="25"/>
        <v>811134</v>
      </c>
      <c r="E303" s="9">
        <v>25.09</v>
      </c>
      <c r="F303" s="2">
        <v>1007</v>
      </c>
      <c r="G303" s="8">
        <v>2682743</v>
      </c>
      <c r="H303" s="12">
        <f t="shared" si="26"/>
        <v>1.1287295869322969</v>
      </c>
      <c r="I303" s="8">
        <v>17700293</v>
      </c>
      <c r="J303" s="8">
        <f t="shared" si="27"/>
        <v>610354.93103448278</v>
      </c>
      <c r="K303" s="13">
        <f t="shared" si="28"/>
        <v>0.75247114661015657</v>
      </c>
      <c r="L303" s="2">
        <v>583</v>
      </c>
      <c r="M303" s="13">
        <f t="shared" si="29"/>
        <v>0.57894736842105265</v>
      </c>
      <c r="N303" s="27"/>
      <c r="O303" s="14">
        <v>232609</v>
      </c>
      <c r="P303" s="8">
        <f t="shared" si="33"/>
        <v>8021</v>
      </c>
      <c r="Q303" s="9">
        <f t="shared" si="34"/>
        <v>101.12629347961601</v>
      </c>
      <c r="R303" s="8">
        <v>1055000</v>
      </c>
      <c r="S303" s="4">
        <f t="shared" si="30"/>
        <v>-243866</v>
      </c>
      <c r="T303" s="21">
        <f t="shared" si="31"/>
        <v>-353605.7</v>
      </c>
      <c r="U303" s="16">
        <f t="shared" si="32"/>
        <v>-593767.75</v>
      </c>
    </row>
    <row r="304" spans="1:21" x14ac:dyDescent="0.25">
      <c r="A304" s="3">
        <v>42430</v>
      </c>
      <c r="B304" s="2">
        <v>31</v>
      </c>
      <c r="C304" s="8">
        <v>23974777</v>
      </c>
      <c r="D304" s="8">
        <f t="shared" si="25"/>
        <v>773379.90322580643</v>
      </c>
      <c r="E304" s="9">
        <v>32.619999999999997</v>
      </c>
      <c r="F304" s="2">
        <v>1003</v>
      </c>
      <c r="G304" s="8">
        <v>3216414</v>
      </c>
      <c r="H304" s="12">
        <f t="shared" si="26"/>
        <v>1.1549454549956564</v>
      </c>
      <c r="I304" s="8">
        <v>17520305</v>
      </c>
      <c r="J304" s="8">
        <f t="shared" si="27"/>
        <v>565171.12903225806</v>
      </c>
      <c r="K304" s="13">
        <f t="shared" si="28"/>
        <v>0.73078072842971598</v>
      </c>
      <c r="L304" s="2">
        <v>581</v>
      </c>
      <c r="M304" s="13">
        <f t="shared" si="29"/>
        <v>0.57926221335992023</v>
      </c>
      <c r="N304" s="27"/>
      <c r="O304" s="14">
        <v>231398</v>
      </c>
      <c r="P304" s="8">
        <f t="shared" si="33"/>
        <v>7464.4516129032254</v>
      </c>
      <c r="Q304" s="9">
        <f t="shared" si="34"/>
        <v>103.60840197408794</v>
      </c>
      <c r="R304" s="8">
        <v>1055000</v>
      </c>
      <c r="S304" s="4">
        <f t="shared" si="30"/>
        <v>-281620.09677419357</v>
      </c>
      <c r="T304" s="21">
        <f t="shared" si="31"/>
        <v>-436511.15000000008</v>
      </c>
      <c r="U304" s="16">
        <f t="shared" si="32"/>
        <v>-1030278.9000000001</v>
      </c>
    </row>
    <row r="305" spans="1:21" x14ac:dyDescent="0.25">
      <c r="A305" s="3">
        <v>42461</v>
      </c>
      <c r="B305" s="2">
        <v>30</v>
      </c>
      <c r="C305" s="8">
        <v>24349020</v>
      </c>
      <c r="D305" s="8">
        <f t="shared" si="25"/>
        <v>811634</v>
      </c>
      <c r="E305" s="9">
        <v>35.520000000000003</v>
      </c>
      <c r="F305" s="2">
        <v>984</v>
      </c>
      <c r="G305" s="8">
        <v>3095917</v>
      </c>
      <c r="H305" s="12">
        <f t="shared" si="26"/>
        <v>1.1456689406718632</v>
      </c>
      <c r="I305" s="8">
        <v>18125995</v>
      </c>
      <c r="J305" s="8">
        <f t="shared" si="27"/>
        <v>604199.83333333337</v>
      </c>
      <c r="K305" s="13">
        <f t="shared" si="28"/>
        <v>0.74442400556572708</v>
      </c>
      <c r="L305" s="2">
        <v>579</v>
      </c>
      <c r="M305" s="13">
        <f t="shared" si="29"/>
        <v>0.58841463414634143</v>
      </c>
      <c r="N305" s="27"/>
      <c r="O305" s="14">
        <v>230347</v>
      </c>
      <c r="P305" s="8">
        <f t="shared" si="33"/>
        <v>7678.2333333333336</v>
      </c>
      <c r="Q305" s="9">
        <f t="shared" si="34"/>
        <v>105.70582642708609</v>
      </c>
      <c r="R305" s="8">
        <v>1055000</v>
      </c>
      <c r="S305" s="4">
        <f t="shared" si="30"/>
        <v>-243366</v>
      </c>
      <c r="T305" s="21">
        <f t="shared" si="31"/>
        <v>-365049.00000000006</v>
      </c>
      <c r="U305" s="16">
        <f t="shared" si="32"/>
        <v>-1395327.9000000001</v>
      </c>
    </row>
    <row r="306" spans="1:21" x14ac:dyDescent="0.25">
      <c r="A306" s="3">
        <v>42491</v>
      </c>
      <c r="B306" s="2">
        <v>31</v>
      </c>
      <c r="C306" s="8">
        <v>25968962</v>
      </c>
      <c r="D306" s="8">
        <f t="shared" si="25"/>
        <v>837708.45161290327</v>
      </c>
      <c r="E306" s="9">
        <v>41.4</v>
      </c>
      <c r="F306" s="2">
        <v>974</v>
      </c>
      <c r="G306" s="8">
        <v>2244235</v>
      </c>
      <c r="H306" s="12">
        <f t="shared" si="26"/>
        <v>1.0945947660430402</v>
      </c>
      <c r="I306" s="8">
        <v>20320437</v>
      </c>
      <c r="J306" s="8">
        <f t="shared" si="27"/>
        <v>655497.96774193551</v>
      </c>
      <c r="K306" s="13">
        <f t="shared" si="28"/>
        <v>0.78248938097718346</v>
      </c>
      <c r="L306" s="2">
        <v>590</v>
      </c>
      <c r="M306" s="13">
        <f t="shared" si="29"/>
        <v>0.60574948665297745</v>
      </c>
      <c r="N306" s="27"/>
      <c r="O306" s="14">
        <v>238151</v>
      </c>
      <c r="P306" s="8">
        <f t="shared" si="33"/>
        <v>7682.2903225806449</v>
      </c>
      <c r="Q306" s="9">
        <f t="shared" si="34"/>
        <v>109.04410227124808</v>
      </c>
      <c r="R306" s="8">
        <v>1055000</v>
      </c>
      <c r="S306" s="4">
        <f t="shared" si="30"/>
        <v>-217291.54838709673</v>
      </c>
      <c r="T306" s="21">
        <f t="shared" si="31"/>
        <v>-336801.89999999997</v>
      </c>
      <c r="U306" s="16">
        <f t="shared" si="32"/>
        <v>-1732129.8</v>
      </c>
    </row>
    <row r="307" spans="1:21" x14ac:dyDescent="0.25">
      <c r="A307" s="3">
        <v>42522</v>
      </c>
      <c r="B307" s="2">
        <v>30</v>
      </c>
      <c r="C307" s="8">
        <v>25486388</v>
      </c>
      <c r="D307" s="8">
        <f t="shared" si="25"/>
        <v>849546.26666666672</v>
      </c>
      <c r="E307" s="9">
        <v>43.15</v>
      </c>
      <c r="F307" s="2">
        <v>977</v>
      </c>
      <c r="G307" s="8">
        <v>2111504</v>
      </c>
      <c r="H307" s="12">
        <f t="shared" si="26"/>
        <v>1.0903321702045665</v>
      </c>
      <c r="I307" s="8">
        <v>19907543</v>
      </c>
      <c r="J307" s="8">
        <f t="shared" si="27"/>
        <v>663584.76666666672</v>
      </c>
      <c r="K307" s="13">
        <f t="shared" si="28"/>
        <v>0.78110491765251322</v>
      </c>
      <c r="L307" s="2">
        <v>591</v>
      </c>
      <c r="M307" s="13">
        <f t="shared" si="29"/>
        <v>0.60491299897645856</v>
      </c>
      <c r="N307" s="27"/>
      <c r="O307" s="14">
        <v>227614</v>
      </c>
      <c r="P307" s="8">
        <f t="shared" si="33"/>
        <v>7587.1333333333332</v>
      </c>
      <c r="Q307" s="9">
        <f t="shared" si="34"/>
        <v>111.9719700897133</v>
      </c>
      <c r="R307" s="8">
        <v>1055000</v>
      </c>
      <c r="S307" s="4">
        <f t="shared" si="30"/>
        <v>-205453.73333333328</v>
      </c>
      <c r="T307" s="21">
        <f t="shared" si="31"/>
        <v>-308180.59999999992</v>
      </c>
      <c r="U307" s="16">
        <f t="shared" si="32"/>
        <v>-2040310.4</v>
      </c>
    </row>
    <row r="308" spans="1:21" x14ac:dyDescent="0.25">
      <c r="A308" s="3">
        <v>42552</v>
      </c>
      <c r="B308" s="2">
        <v>31</v>
      </c>
      <c r="C308" s="8">
        <v>25453426</v>
      </c>
      <c r="D308" s="8">
        <f t="shared" si="25"/>
        <v>821078.25806451612</v>
      </c>
      <c r="E308" s="9">
        <v>39.56</v>
      </c>
      <c r="F308" s="2">
        <v>948</v>
      </c>
      <c r="G308" s="8">
        <v>2611092</v>
      </c>
      <c r="H308" s="12">
        <f t="shared" si="26"/>
        <v>1.1143093345890136</v>
      </c>
      <c r="I308" s="8">
        <v>19322676</v>
      </c>
      <c r="J308" s="8">
        <f t="shared" si="27"/>
        <v>623312.12903225806</v>
      </c>
      <c r="K308" s="13">
        <f t="shared" si="28"/>
        <v>0.7591385143988082</v>
      </c>
      <c r="L308" s="2">
        <v>582</v>
      </c>
      <c r="M308" s="13">
        <f t="shared" si="29"/>
        <v>0.61392405063291144</v>
      </c>
      <c r="N308" s="27"/>
      <c r="O308" s="14">
        <v>225116</v>
      </c>
      <c r="P308" s="8">
        <f t="shared" si="33"/>
        <v>7261.8064516129034</v>
      </c>
      <c r="Q308" s="9">
        <f t="shared" si="34"/>
        <v>113.06804491906395</v>
      </c>
      <c r="R308" s="8">
        <v>1055000</v>
      </c>
      <c r="S308" s="4">
        <f t="shared" si="30"/>
        <v>-233921.74193548388</v>
      </c>
      <c r="T308" s="21">
        <f t="shared" si="31"/>
        <v>-362578.7</v>
      </c>
      <c r="U308" s="16">
        <f t="shared" si="32"/>
        <v>-2402889.1</v>
      </c>
    </row>
    <row r="309" spans="1:21" x14ac:dyDescent="0.25">
      <c r="A309" s="3">
        <v>42583</v>
      </c>
      <c r="B309" s="2">
        <v>31</v>
      </c>
      <c r="C309" s="8">
        <v>25613404</v>
      </c>
      <c r="D309" s="8">
        <f t="shared" si="25"/>
        <v>826238.83870967745</v>
      </c>
      <c r="E309" s="9">
        <v>39</v>
      </c>
      <c r="F309" s="2">
        <v>949</v>
      </c>
      <c r="G309" s="8">
        <v>2884816</v>
      </c>
      <c r="H309" s="12">
        <f t="shared" si="26"/>
        <v>1.1269245586219434</v>
      </c>
      <c r="I309" s="8">
        <v>19384444</v>
      </c>
      <c r="J309" s="8">
        <f t="shared" si="27"/>
        <v>625304.6451612903</v>
      </c>
      <c r="K309" s="13">
        <f t="shared" si="28"/>
        <v>0.75680858350572999</v>
      </c>
      <c r="L309" s="2">
        <v>580</v>
      </c>
      <c r="M309" s="13">
        <f t="shared" si="29"/>
        <v>0.61116965226554265</v>
      </c>
      <c r="N309" s="27"/>
      <c r="O309" s="14">
        <v>232070</v>
      </c>
      <c r="P309" s="8">
        <f t="shared" si="33"/>
        <v>7486.1290322580644</v>
      </c>
      <c r="Q309" s="9">
        <f t="shared" si="34"/>
        <v>110.36930236566553</v>
      </c>
      <c r="R309" s="8">
        <v>1055000</v>
      </c>
      <c r="S309" s="4">
        <f t="shared" si="30"/>
        <v>-228761.16129032255</v>
      </c>
      <c r="T309" s="21">
        <f t="shared" si="31"/>
        <v>-354579.8</v>
      </c>
      <c r="U309" s="16">
        <f t="shared" si="32"/>
        <v>-2757468.9</v>
      </c>
    </row>
    <row r="310" spans="1:21" x14ac:dyDescent="0.25">
      <c r="A310" s="3">
        <v>42614</v>
      </c>
      <c r="B310" s="2">
        <v>30</v>
      </c>
      <c r="C310" s="8">
        <v>25834314</v>
      </c>
      <c r="D310" s="8">
        <f t="shared" si="25"/>
        <v>861143.8</v>
      </c>
      <c r="E310" s="9">
        <v>39</v>
      </c>
      <c r="F310" s="2">
        <v>947</v>
      </c>
      <c r="G310" s="8">
        <v>3170690</v>
      </c>
      <c r="H310" s="12">
        <f t="shared" si="26"/>
        <v>1.1399021621608265</v>
      </c>
      <c r="I310" s="8">
        <v>17709947</v>
      </c>
      <c r="J310" s="8">
        <f t="shared" si="27"/>
        <v>590331.56666666665</v>
      </c>
      <c r="K310" s="13">
        <f t="shared" si="28"/>
        <v>0.6855203122482757</v>
      </c>
      <c r="L310" s="2">
        <v>577</v>
      </c>
      <c r="M310" s="13">
        <f t="shared" si="29"/>
        <v>0.60929250263991552</v>
      </c>
      <c r="N310" s="27"/>
      <c r="O310" s="14">
        <v>227257</v>
      </c>
      <c r="P310" s="8">
        <f t="shared" si="33"/>
        <v>7575.2333333333336</v>
      </c>
      <c r="Q310" s="9">
        <f t="shared" si="34"/>
        <v>113.6788481762938</v>
      </c>
      <c r="R310" s="8">
        <v>1055000</v>
      </c>
      <c r="S310" s="4">
        <f t="shared" si="30"/>
        <v>-193856.19999999995</v>
      </c>
      <c r="T310" s="21">
        <f t="shared" si="31"/>
        <v>-290784.29999999993</v>
      </c>
      <c r="U310" s="16">
        <f t="shared" si="32"/>
        <v>-3048253.1999999997</v>
      </c>
    </row>
    <row r="311" spans="1:21" x14ac:dyDescent="0.25">
      <c r="A311" s="3">
        <v>42644</v>
      </c>
      <c r="B311" s="2">
        <v>31</v>
      </c>
      <c r="C311" s="8">
        <v>26921206</v>
      </c>
      <c r="D311" s="8">
        <f t="shared" si="25"/>
        <v>868426</v>
      </c>
      <c r="E311" s="9">
        <v>43.79</v>
      </c>
      <c r="F311" s="2">
        <v>950</v>
      </c>
      <c r="G311" s="8">
        <v>3489329</v>
      </c>
      <c r="H311" s="12">
        <f t="shared" si="26"/>
        <v>1.1489137639293685</v>
      </c>
      <c r="I311" s="8">
        <v>19793306</v>
      </c>
      <c r="J311" s="8">
        <f t="shared" si="27"/>
        <v>638493.74193548388</v>
      </c>
      <c r="K311" s="13">
        <f t="shared" si="28"/>
        <v>0.73523102939742002</v>
      </c>
      <c r="L311" s="2">
        <v>578</v>
      </c>
      <c r="M311" s="13">
        <f t="shared" si="29"/>
        <v>0.60842105263157897</v>
      </c>
      <c r="N311" s="27"/>
      <c r="O311" s="14">
        <v>237453</v>
      </c>
      <c r="P311" s="8">
        <f t="shared" si="33"/>
        <v>7659.7741935483873</v>
      </c>
      <c r="Q311" s="9">
        <f t="shared" si="34"/>
        <v>113.37488260834776</v>
      </c>
      <c r="R311" s="8">
        <v>1055000</v>
      </c>
      <c r="S311" s="4">
        <f t="shared" si="30"/>
        <v>-186574</v>
      </c>
      <c r="T311" s="21">
        <f t="shared" si="31"/>
        <v>-289189.7</v>
      </c>
      <c r="U311" s="16">
        <f t="shared" si="32"/>
        <v>-3337442.9</v>
      </c>
    </row>
    <row r="312" spans="1:21" x14ac:dyDescent="0.25">
      <c r="A312" s="3">
        <v>42675</v>
      </c>
      <c r="B312" s="2">
        <v>30</v>
      </c>
      <c r="C312" s="8">
        <v>25844452</v>
      </c>
      <c r="D312" s="8">
        <f t="shared" si="25"/>
        <v>861481.73333333328</v>
      </c>
      <c r="E312" s="9">
        <v>39.520000000000003</v>
      </c>
      <c r="F312" s="2">
        <v>950</v>
      </c>
      <c r="G312" s="8">
        <v>2707899</v>
      </c>
      <c r="H312" s="12">
        <f t="shared" si="26"/>
        <v>1.1170398632847338</v>
      </c>
      <c r="I312" s="8">
        <v>19747914</v>
      </c>
      <c r="J312" s="8">
        <f t="shared" si="27"/>
        <v>658263.80000000005</v>
      </c>
      <c r="K312" s="13">
        <f t="shared" si="28"/>
        <v>0.76410650920360002</v>
      </c>
      <c r="L312" s="2">
        <v>579</v>
      </c>
      <c r="M312" s="13">
        <f t="shared" si="29"/>
        <v>0.60947368421052628</v>
      </c>
      <c r="N312" s="27"/>
      <c r="O312" s="14">
        <v>227070</v>
      </c>
      <c r="P312" s="8">
        <f t="shared" si="33"/>
        <v>7569</v>
      </c>
      <c r="Q312" s="9">
        <f t="shared" si="34"/>
        <v>113.81711366538951</v>
      </c>
      <c r="R312" s="8">
        <v>1055000</v>
      </c>
      <c r="S312" s="4">
        <f t="shared" si="30"/>
        <v>-193518.26666666672</v>
      </c>
      <c r="T312" s="21">
        <f t="shared" si="31"/>
        <v>-290277.40000000008</v>
      </c>
      <c r="U312" s="16">
        <f t="shared" si="32"/>
        <v>-3627720.3</v>
      </c>
    </row>
    <row r="313" spans="1:21" x14ac:dyDescent="0.25">
      <c r="A313" s="3">
        <v>42705</v>
      </c>
      <c r="B313" s="2">
        <v>31</v>
      </c>
      <c r="C313" s="8">
        <v>26339035</v>
      </c>
      <c r="D313" s="8">
        <f t="shared" si="25"/>
        <v>849646.29032258061</v>
      </c>
      <c r="E313" s="9">
        <v>46.11</v>
      </c>
      <c r="F313" s="2">
        <v>950</v>
      </c>
      <c r="G313" s="8">
        <v>3003811</v>
      </c>
      <c r="H313" s="12">
        <f t="shared" si="26"/>
        <v>1.1287243267945488</v>
      </c>
      <c r="I313" s="8">
        <v>18404556</v>
      </c>
      <c r="J313" s="8">
        <f t="shared" si="27"/>
        <v>593695.3548387097</v>
      </c>
      <c r="K313" s="13">
        <f t="shared" si="28"/>
        <v>0.69875589595442655</v>
      </c>
      <c r="L313" s="2">
        <v>582</v>
      </c>
      <c r="M313" s="13">
        <f t="shared" si="29"/>
        <v>0.61263157894736842</v>
      </c>
      <c r="N313" s="27"/>
      <c r="O313" s="14">
        <v>229181</v>
      </c>
      <c r="P313" s="8">
        <f t="shared" si="33"/>
        <v>7392.9354838709678</v>
      </c>
      <c r="Q313" s="9">
        <f t="shared" si="34"/>
        <v>114.92678276122365</v>
      </c>
      <c r="R313" s="8">
        <v>1055000</v>
      </c>
      <c r="S313" s="4">
        <f t="shared" si="30"/>
        <v>-205353.70967741939</v>
      </c>
      <c r="T313" s="21">
        <f t="shared" si="31"/>
        <v>-318298.25000000006</v>
      </c>
      <c r="U313" s="22">
        <f t="shared" si="32"/>
        <v>-3946018.55</v>
      </c>
    </row>
    <row r="314" spans="1:21" x14ac:dyDescent="0.25">
      <c r="A314" s="3">
        <v>42736</v>
      </c>
      <c r="B314" s="2">
        <v>31</v>
      </c>
      <c r="C314" s="8">
        <v>26476232</v>
      </c>
      <c r="D314" s="8">
        <f t="shared" si="25"/>
        <v>854072</v>
      </c>
      <c r="E314" s="9">
        <v>46.73</v>
      </c>
      <c r="F314" s="2">
        <v>949</v>
      </c>
      <c r="G314" s="8">
        <v>2311752</v>
      </c>
      <c r="H314" s="12">
        <f t="shared" si="26"/>
        <v>1.0956673596948909</v>
      </c>
      <c r="I314" s="8">
        <v>19671538</v>
      </c>
      <c r="J314" s="8">
        <f t="shared" si="27"/>
        <v>634565.74193548388</v>
      </c>
      <c r="K314" s="13">
        <f t="shared" si="28"/>
        <v>0.74298857934165252</v>
      </c>
      <c r="L314" s="2">
        <v>582</v>
      </c>
      <c r="M314" s="13">
        <f t="shared" si="29"/>
        <v>0.61327713382507898</v>
      </c>
      <c r="N314" s="27"/>
      <c r="O314" s="14">
        <v>231215</v>
      </c>
      <c r="P314" s="8">
        <f t="shared" si="33"/>
        <v>7458.5483870967746</v>
      </c>
      <c r="Q314" s="9">
        <f t="shared" si="34"/>
        <v>114.5091451679173</v>
      </c>
      <c r="R314" s="8">
        <v>860000</v>
      </c>
      <c r="S314" s="4">
        <f t="shared" si="30"/>
        <v>-5928</v>
      </c>
      <c r="T314" s="21">
        <f t="shared" ref="T314:T325" si="35">S314*0.053*B314</f>
        <v>-9739.7039999999997</v>
      </c>
      <c r="U314" s="16">
        <f>T314</f>
        <v>-9739.7039999999997</v>
      </c>
    </row>
    <row r="315" spans="1:21" x14ac:dyDescent="0.25">
      <c r="A315" s="3">
        <v>42767</v>
      </c>
      <c r="B315" s="2">
        <v>28</v>
      </c>
      <c r="C315" s="8">
        <v>23544617</v>
      </c>
      <c r="D315" s="8">
        <f t="shared" si="25"/>
        <v>840879.17857142852</v>
      </c>
      <c r="E315" s="9">
        <v>47.54</v>
      </c>
      <c r="F315" s="2">
        <v>943</v>
      </c>
      <c r="G315" s="8">
        <v>2153018</v>
      </c>
      <c r="H315" s="12">
        <f t="shared" si="26"/>
        <v>1.1006478290846795</v>
      </c>
      <c r="I315" s="8">
        <v>17654256</v>
      </c>
      <c r="J315" s="8">
        <f t="shared" si="27"/>
        <v>630509.14285714284</v>
      </c>
      <c r="K315" s="13">
        <f t="shared" si="28"/>
        <v>0.74982132858648753</v>
      </c>
      <c r="L315" s="2">
        <v>586</v>
      </c>
      <c r="M315" s="13">
        <f t="shared" si="29"/>
        <v>0.62142099681866381</v>
      </c>
      <c r="N315" s="27"/>
      <c r="O315" s="14">
        <v>205819</v>
      </c>
      <c r="P315" s="8">
        <f t="shared" si="33"/>
        <v>7350.6785714285716</v>
      </c>
      <c r="Q315" s="9">
        <f t="shared" si="34"/>
        <v>114.39476919040516</v>
      </c>
      <c r="R315" s="8">
        <v>860000</v>
      </c>
      <c r="S315" s="4">
        <f t="shared" si="30"/>
        <v>-19120.821428571478</v>
      </c>
      <c r="T315" s="21">
        <f t="shared" si="35"/>
        <v>-28375.299000000072</v>
      </c>
      <c r="U315" s="16">
        <f t="shared" si="32"/>
        <v>-38115.00300000007</v>
      </c>
    </row>
    <row r="316" spans="1:21" x14ac:dyDescent="0.25">
      <c r="A316" s="3">
        <v>42795</v>
      </c>
      <c r="B316" s="2">
        <v>31</v>
      </c>
      <c r="C316" s="8">
        <v>26217391</v>
      </c>
      <c r="D316" s="8">
        <f t="shared" si="25"/>
        <v>845722.29032258061</v>
      </c>
      <c r="E316" s="9">
        <v>43.65</v>
      </c>
      <c r="F316" s="2">
        <v>944</v>
      </c>
      <c r="G316" s="8">
        <v>2858947</v>
      </c>
      <c r="H316" s="12">
        <f t="shared" si="26"/>
        <v>1.1223945824473582</v>
      </c>
      <c r="I316" s="8">
        <v>20326830</v>
      </c>
      <c r="J316" s="8">
        <f t="shared" si="27"/>
        <v>655704.19354838715</v>
      </c>
      <c r="K316" s="13">
        <f t="shared" si="28"/>
        <v>0.77531856621431172</v>
      </c>
      <c r="L316" s="2">
        <v>589</v>
      </c>
      <c r="M316" s="13">
        <f t="shared" si="29"/>
        <v>0.62394067796610164</v>
      </c>
      <c r="N316" s="27"/>
      <c r="O316" s="14">
        <v>224440</v>
      </c>
      <c r="P316" s="8">
        <f t="shared" si="33"/>
        <v>7240</v>
      </c>
      <c r="Q316" s="9">
        <f t="shared" si="34"/>
        <v>116.81247103903047</v>
      </c>
      <c r="R316" s="8">
        <v>860000</v>
      </c>
      <c r="S316" s="4">
        <f t="shared" si="30"/>
        <v>-14277.709677419392</v>
      </c>
      <c r="T316" s="21">
        <f t="shared" si="35"/>
        <v>-23458.27700000006</v>
      </c>
      <c r="U316" s="16">
        <f t="shared" si="32"/>
        <v>-61573.28000000013</v>
      </c>
    </row>
    <row r="317" spans="1:21" x14ac:dyDescent="0.25">
      <c r="A317" s="3">
        <v>42826</v>
      </c>
      <c r="B317" s="2">
        <v>30</v>
      </c>
      <c r="C317" s="8">
        <v>25331683</v>
      </c>
      <c r="D317" s="8">
        <f t="shared" si="25"/>
        <v>844389.43333333335</v>
      </c>
      <c r="E317" s="9">
        <v>45.11</v>
      </c>
      <c r="F317" s="2">
        <v>944</v>
      </c>
      <c r="G317" s="8">
        <v>1862337</v>
      </c>
      <c r="H317" s="12">
        <f t="shared" si="26"/>
        <v>1.0793518916121481</v>
      </c>
      <c r="I317" s="8">
        <v>20452925</v>
      </c>
      <c r="J317" s="8">
        <f t="shared" si="27"/>
        <v>681764.16666666663</v>
      </c>
      <c r="K317" s="13">
        <f t="shared" si="28"/>
        <v>0.80740490081136729</v>
      </c>
      <c r="L317" s="2">
        <v>591</v>
      </c>
      <c r="M317" s="13">
        <f t="shared" si="29"/>
        <v>0.62605932203389836</v>
      </c>
      <c r="N317" s="27"/>
      <c r="O317" s="14">
        <v>213960</v>
      </c>
      <c r="P317" s="8">
        <f t="shared" si="33"/>
        <v>7132</v>
      </c>
      <c r="Q317" s="9">
        <f t="shared" si="34"/>
        <v>118.39448027668723</v>
      </c>
      <c r="R317" s="8">
        <v>860000</v>
      </c>
      <c r="S317" s="4">
        <f t="shared" si="30"/>
        <v>-15610.566666666651</v>
      </c>
      <c r="T317" s="21">
        <f t="shared" si="35"/>
        <v>-24820.800999999974</v>
      </c>
      <c r="U317" s="16">
        <f t="shared" si="32"/>
        <v>-86394.081000000107</v>
      </c>
    </row>
    <row r="318" spans="1:21" x14ac:dyDescent="0.25">
      <c r="A318" s="3">
        <v>42856</v>
      </c>
      <c r="B318" s="2">
        <v>31</v>
      </c>
      <c r="C318" s="8">
        <v>24807609</v>
      </c>
      <c r="D318" s="8">
        <f t="shared" si="25"/>
        <v>800245.45161290327</v>
      </c>
      <c r="E318" s="9">
        <v>42.55</v>
      </c>
      <c r="F318" s="2">
        <v>943</v>
      </c>
      <c r="G318" s="8">
        <v>1905486</v>
      </c>
      <c r="H318" s="12">
        <f t="shared" si="26"/>
        <v>1.0832012822566712</v>
      </c>
      <c r="I318" s="8">
        <v>18236710</v>
      </c>
      <c r="J318" s="8">
        <f t="shared" si="27"/>
        <v>588280.96774193551</v>
      </c>
      <c r="K318" s="13">
        <f t="shared" si="28"/>
        <v>0.73512566245299982</v>
      </c>
      <c r="L318" s="2">
        <v>590</v>
      </c>
      <c r="M318" s="13">
        <f t="shared" si="29"/>
        <v>0.62566277836691409</v>
      </c>
      <c r="N318" s="27"/>
      <c r="O318" s="14">
        <v>211706</v>
      </c>
      <c r="P318" s="8">
        <f t="shared" si="33"/>
        <v>6829.2258064516127</v>
      </c>
      <c r="Q318" s="9">
        <f t="shared" si="34"/>
        <v>117.17952726894846</v>
      </c>
      <c r="R318" s="8">
        <v>860000</v>
      </c>
      <c r="S318" s="4">
        <f t="shared" si="30"/>
        <v>-59754.548387096729</v>
      </c>
      <c r="T318" s="21">
        <f t="shared" si="35"/>
        <v>-98176.722999999925</v>
      </c>
      <c r="U318" s="16">
        <f t="shared" si="32"/>
        <v>-184570.80400000003</v>
      </c>
    </row>
    <row r="319" spans="1:21" x14ac:dyDescent="0.25">
      <c r="A319" s="3">
        <v>42887</v>
      </c>
      <c r="B319" s="2">
        <v>30</v>
      </c>
      <c r="C319" s="8">
        <v>25012344</v>
      </c>
      <c r="D319" s="8">
        <f t="shared" si="25"/>
        <v>833744.8</v>
      </c>
      <c r="E319" s="9">
        <v>39.200000000000003</v>
      </c>
      <c r="F319" s="2">
        <v>941</v>
      </c>
      <c r="G319" s="8">
        <v>2564545</v>
      </c>
      <c r="H319" s="12">
        <f t="shared" si="26"/>
        <v>1.1142448308629278</v>
      </c>
      <c r="I319" s="8">
        <v>18525891</v>
      </c>
      <c r="J319" s="8">
        <f t="shared" si="27"/>
        <v>617529.69999999995</v>
      </c>
      <c r="K319" s="13">
        <f t="shared" si="28"/>
        <v>0.74066992681693489</v>
      </c>
      <c r="L319" s="2">
        <v>589</v>
      </c>
      <c r="M319" s="13">
        <f t="shared" si="29"/>
        <v>0.62592986184909671</v>
      </c>
      <c r="N319" s="27"/>
      <c r="O319" s="14">
        <v>204791</v>
      </c>
      <c r="P319" s="8">
        <f t="shared" si="33"/>
        <v>6826.3666666666668</v>
      </c>
      <c r="Q319" s="9">
        <f t="shared" si="34"/>
        <v>122.13595324013262</v>
      </c>
      <c r="R319" s="8">
        <v>860000</v>
      </c>
      <c r="S319" s="4">
        <f t="shared" si="30"/>
        <v>-26255.199999999953</v>
      </c>
      <c r="T319" s="21">
        <f t="shared" si="35"/>
        <v>-41745.767999999924</v>
      </c>
      <c r="U319" s="16">
        <f t="shared" si="32"/>
        <v>-226316.57199999996</v>
      </c>
    </row>
    <row r="320" spans="1:21" x14ac:dyDescent="0.25">
      <c r="A320" s="3">
        <v>42917</v>
      </c>
      <c r="B320" s="2">
        <v>31</v>
      </c>
      <c r="C320" s="8">
        <v>25080501</v>
      </c>
      <c r="D320" s="8">
        <f t="shared" si="25"/>
        <v>809048.41935483867</v>
      </c>
      <c r="E320" s="9">
        <v>40.4</v>
      </c>
      <c r="F320" s="2">
        <v>942</v>
      </c>
      <c r="G320" s="8">
        <v>2584639</v>
      </c>
      <c r="H320" s="12">
        <f t="shared" si="26"/>
        <v>1.1148939747229958</v>
      </c>
      <c r="I320" s="8">
        <v>18118033</v>
      </c>
      <c r="J320" s="8">
        <f t="shared" si="27"/>
        <v>584452.67741935479</v>
      </c>
      <c r="K320" s="13">
        <f t="shared" si="28"/>
        <v>0.72239517862900748</v>
      </c>
      <c r="L320" s="2">
        <v>589</v>
      </c>
      <c r="M320" s="13">
        <f t="shared" si="29"/>
        <v>0.62526539278131632</v>
      </c>
      <c r="N320" s="27"/>
      <c r="O320" s="14">
        <v>206959</v>
      </c>
      <c r="P320" s="8">
        <f t="shared" si="33"/>
        <v>6676.0967741935483</v>
      </c>
      <c r="Q320" s="9">
        <f t="shared" si="34"/>
        <v>121.18584357288158</v>
      </c>
      <c r="R320" s="8">
        <v>860000</v>
      </c>
      <c r="S320" s="4">
        <f t="shared" si="30"/>
        <v>-50951.580645161332</v>
      </c>
      <c r="T320" s="21">
        <f t="shared" si="35"/>
        <v>-83713.447000000073</v>
      </c>
      <c r="U320" s="16">
        <f t="shared" si="32"/>
        <v>-310030.01900000003</v>
      </c>
    </row>
    <row r="321" spans="1:21" x14ac:dyDescent="0.25">
      <c r="A321" s="3">
        <v>42948</v>
      </c>
      <c r="B321" s="2">
        <v>31</v>
      </c>
      <c r="C321" s="8">
        <v>25966266</v>
      </c>
      <c r="D321" s="8">
        <f t="shared" si="25"/>
        <v>837621.48387096776</v>
      </c>
      <c r="E321" s="9">
        <v>41.93</v>
      </c>
      <c r="F321" s="2">
        <v>942</v>
      </c>
      <c r="G321" s="8">
        <v>2263372</v>
      </c>
      <c r="H321" s="12">
        <f t="shared" si="26"/>
        <v>1.0954892681037176</v>
      </c>
      <c r="I321" s="8">
        <v>19122837</v>
      </c>
      <c r="J321" s="8">
        <f t="shared" si="27"/>
        <v>616865.70967741939</v>
      </c>
      <c r="K321" s="13">
        <f t="shared" si="28"/>
        <v>0.7364492453400886</v>
      </c>
      <c r="L321" s="2">
        <v>592</v>
      </c>
      <c r="M321" s="13">
        <f t="shared" si="29"/>
        <v>0.6284501061571125</v>
      </c>
      <c r="N321" s="27"/>
      <c r="O321" s="14">
        <v>218597</v>
      </c>
      <c r="P321" s="8">
        <f t="shared" si="33"/>
        <v>7051.5161290322585</v>
      </c>
      <c r="Q321" s="9">
        <f t="shared" si="34"/>
        <v>118.78601261682456</v>
      </c>
      <c r="R321" s="8">
        <v>860000</v>
      </c>
      <c r="S321" s="4">
        <f t="shared" si="30"/>
        <v>-22378.516129032243</v>
      </c>
      <c r="T321" s="21">
        <f t="shared" si="35"/>
        <v>-36767.901999999973</v>
      </c>
      <c r="U321" s="16">
        <f t="shared" si="32"/>
        <v>-346797.92099999997</v>
      </c>
    </row>
    <row r="322" spans="1:21" x14ac:dyDescent="0.25">
      <c r="A322" s="3">
        <v>42979</v>
      </c>
      <c r="B322" s="2">
        <v>30</v>
      </c>
      <c r="C322" s="8">
        <v>24950832</v>
      </c>
      <c r="D322" s="8">
        <f t="shared" si="25"/>
        <v>831694.4</v>
      </c>
      <c r="E322" s="9">
        <v>43.31</v>
      </c>
      <c r="F322" s="2">
        <v>941</v>
      </c>
      <c r="G322" s="8">
        <v>2566149</v>
      </c>
      <c r="H322" s="12">
        <f t="shared" si="26"/>
        <v>1.1146386124833665</v>
      </c>
      <c r="I322" s="8">
        <v>17555709</v>
      </c>
      <c r="J322" s="8">
        <f t="shared" si="27"/>
        <v>585190.30000000005</v>
      </c>
      <c r="K322" s="13">
        <f t="shared" si="28"/>
        <v>0.70361216812329141</v>
      </c>
      <c r="L322" s="2">
        <v>594</v>
      </c>
      <c r="M322" s="13">
        <f t="shared" si="29"/>
        <v>0.63124335812964927</v>
      </c>
      <c r="N322" s="27"/>
      <c r="O322" s="14">
        <v>207698</v>
      </c>
      <c r="P322" s="8">
        <f t="shared" si="33"/>
        <v>6923.2666666666664</v>
      </c>
      <c r="Q322" s="9">
        <f t="shared" si="34"/>
        <v>120.13034309430039</v>
      </c>
      <c r="R322" s="8">
        <v>860000</v>
      </c>
      <c r="S322" s="4">
        <f t="shared" si="30"/>
        <v>-28305.599999999977</v>
      </c>
      <c r="T322" s="21">
        <f t="shared" si="35"/>
        <v>-45005.903999999966</v>
      </c>
      <c r="U322" s="16">
        <f t="shared" si="32"/>
        <v>-391803.82499999995</v>
      </c>
    </row>
    <row r="323" spans="1:21" x14ac:dyDescent="0.25">
      <c r="A323" s="3">
        <v>43009</v>
      </c>
      <c r="B323" s="2">
        <v>31</v>
      </c>
      <c r="C323" s="8">
        <v>25770459</v>
      </c>
      <c r="D323" s="8">
        <f t="shared" si="25"/>
        <v>831305.12903225806</v>
      </c>
      <c r="E323" s="9">
        <v>45.3</v>
      </c>
      <c r="F323" s="2">
        <v>934</v>
      </c>
      <c r="G323" s="8">
        <v>2871298</v>
      </c>
      <c r="H323" s="12">
        <f t="shared" si="26"/>
        <v>1.1253887860782323</v>
      </c>
      <c r="I323" s="8">
        <v>19195979</v>
      </c>
      <c r="J323" s="8">
        <f t="shared" si="27"/>
        <v>619225.12903225806</v>
      </c>
      <c r="K323" s="13">
        <f t="shared" si="28"/>
        <v>0.74488308493069522</v>
      </c>
      <c r="L323" s="2">
        <v>594</v>
      </c>
      <c r="M323" s="13">
        <f t="shared" si="29"/>
        <v>0.63597430406852251</v>
      </c>
      <c r="N323" s="27"/>
      <c r="O323" s="14">
        <v>209957</v>
      </c>
      <c r="P323" s="8">
        <f t="shared" si="33"/>
        <v>6772.8064516129034</v>
      </c>
      <c r="Q323" s="9">
        <f t="shared" si="34"/>
        <v>122.74160423324776</v>
      </c>
      <c r="R323" s="8">
        <v>860000</v>
      </c>
      <c r="S323" s="4">
        <f t="shared" si="30"/>
        <v>-28694.870967741939</v>
      </c>
      <c r="T323" s="21">
        <f t="shared" si="35"/>
        <v>-47145.673000000003</v>
      </c>
      <c r="U323" s="16">
        <f t="shared" si="32"/>
        <v>-438949.49799999996</v>
      </c>
    </row>
    <row r="324" spans="1:21" x14ac:dyDescent="0.25">
      <c r="A324" s="3">
        <v>43040</v>
      </c>
      <c r="B324" s="2">
        <v>30</v>
      </c>
      <c r="C324" s="8">
        <v>25736283</v>
      </c>
      <c r="D324" s="8">
        <f t="shared" si="25"/>
        <v>857876.1</v>
      </c>
      <c r="E324" s="9">
        <v>50.53</v>
      </c>
      <c r="F324" s="2">
        <v>934</v>
      </c>
      <c r="G324" s="8">
        <v>2853589</v>
      </c>
      <c r="H324" s="12">
        <f t="shared" si="26"/>
        <v>1.1247051155777374</v>
      </c>
      <c r="I324" s="8">
        <v>18245935</v>
      </c>
      <c r="J324" s="8">
        <f t="shared" si="27"/>
        <v>608197.83333333337</v>
      </c>
      <c r="K324" s="13">
        <f t="shared" si="28"/>
        <v>0.70895766105773705</v>
      </c>
      <c r="L324" s="2">
        <v>596</v>
      </c>
      <c r="M324" s="13">
        <f t="shared" si="29"/>
        <v>0.63811563169164887</v>
      </c>
      <c r="N324" s="27"/>
      <c r="O324" s="14">
        <v>208499</v>
      </c>
      <c r="P324" s="8">
        <f t="shared" si="33"/>
        <v>6949.9666666666662</v>
      </c>
      <c r="Q324" s="9">
        <f t="shared" si="34"/>
        <v>123.43600209113713</v>
      </c>
      <c r="R324" s="8">
        <v>860000</v>
      </c>
      <c r="S324" s="4">
        <f t="shared" si="30"/>
        <v>-2123.9000000000233</v>
      </c>
      <c r="T324" s="21">
        <f t="shared" si="35"/>
        <v>-3377.001000000037</v>
      </c>
      <c r="U324" s="16">
        <f t="shared" si="32"/>
        <v>-442326.49900000001</v>
      </c>
    </row>
    <row r="325" spans="1:21" x14ac:dyDescent="0.25">
      <c r="A325" s="3">
        <v>43070</v>
      </c>
      <c r="B325" s="2">
        <v>31</v>
      </c>
      <c r="C325" s="8">
        <v>26849477</v>
      </c>
      <c r="D325" s="8">
        <f t="shared" si="25"/>
        <v>866112.16129032255</v>
      </c>
      <c r="E325" s="9">
        <v>51.85</v>
      </c>
      <c r="F325" s="2">
        <v>934</v>
      </c>
      <c r="G325" s="8">
        <v>3235804</v>
      </c>
      <c r="H325" s="12">
        <f t="shared" si="26"/>
        <v>1.1370309481290777</v>
      </c>
      <c r="I325" s="8">
        <v>18688511</v>
      </c>
      <c r="J325" s="8">
        <f t="shared" si="27"/>
        <v>602855.19354838715</v>
      </c>
      <c r="K325" s="13">
        <f t="shared" si="28"/>
        <v>0.69604748725645571</v>
      </c>
      <c r="L325" s="2">
        <v>599</v>
      </c>
      <c r="M325" s="13">
        <f t="shared" si="29"/>
        <v>0.64132762312633829</v>
      </c>
      <c r="N325" s="27"/>
      <c r="O325" s="14">
        <v>218632</v>
      </c>
      <c r="P325" s="8">
        <f t="shared" si="33"/>
        <v>7052.6451612903229</v>
      </c>
      <c r="Q325" s="9">
        <f t="shared" si="34"/>
        <v>122.80671173478721</v>
      </c>
      <c r="R325" s="8">
        <v>860000</v>
      </c>
      <c r="S325" s="4">
        <f t="shared" si="30"/>
        <v>6112.1612903225468</v>
      </c>
      <c r="T325" s="21">
        <f t="shared" si="35"/>
        <v>10042.280999999944</v>
      </c>
      <c r="U325" s="16">
        <f t="shared" si="32"/>
        <v>-432284.21800000005</v>
      </c>
    </row>
    <row r="326" spans="1:21" x14ac:dyDescent="0.25">
      <c r="A326" s="3">
        <v>43101</v>
      </c>
      <c r="B326" s="2">
        <v>31</v>
      </c>
      <c r="C326" s="8">
        <v>26266987</v>
      </c>
      <c r="D326" s="8">
        <f t="shared" si="25"/>
        <v>847322.16129032255</v>
      </c>
      <c r="E326" s="9">
        <v>57.36</v>
      </c>
      <c r="F326" s="2">
        <v>934</v>
      </c>
      <c r="G326" s="8">
        <v>3149691</v>
      </c>
      <c r="H326" s="12">
        <f t="shared" si="26"/>
        <v>1.1362482446043862</v>
      </c>
      <c r="I326" s="8">
        <v>20703303</v>
      </c>
      <c r="J326" s="8">
        <f t="shared" si="27"/>
        <v>667848.48387096776</v>
      </c>
      <c r="K326" s="13">
        <f t="shared" si="28"/>
        <v>0.78818720243779772</v>
      </c>
      <c r="L326" s="2">
        <v>601</v>
      </c>
      <c r="M326" s="13">
        <f t="shared" si="29"/>
        <v>0.64346895074946464</v>
      </c>
      <c r="N326" s="27"/>
      <c r="O326" s="14">
        <v>214704</v>
      </c>
      <c r="P326" s="8">
        <f t="shared" si="33"/>
        <v>6925.9354838709678</v>
      </c>
      <c r="Q326" s="9">
        <f t="shared" si="34"/>
        <v>122.34046408078098</v>
      </c>
      <c r="R326" s="8">
        <v>860000</v>
      </c>
      <c r="S326" s="4">
        <f t="shared" si="30"/>
        <v>-12677.838709677453</v>
      </c>
      <c r="T326" s="21">
        <f t="shared" ref="T326:T349" si="36">S326*0.055*B326</f>
        <v>-21615.715000000058</v>
      </c>
      <c r="U326" s="16">
        <f>T326</f>
        <v>-21615.715000000058</v>
      </c>
    </row>
    <row r="327" spans="1:21" x14ac:dyDescent="0.25">
      <c r="A327" s="3">
        <v>43132</v>
      </c>
      <c r="B327" s="2">
        <v>28</v>
      </c>
      <c r="C327" s="8">
        <v>24261726</v>
      </c>
      <c r="D327" s="8">
        <f t="shared" si="25"/>
        <v>866490.21428571432</v>
      </c>
      <c r="E327" s="9">
        <v>55.97</v>
      </c>
      <c r="F327" s="2">
        <v>934</v>
      </c>
      <c r="G327" s="8">
        <v>2799111</v>
      </c>
      <c r="H327" s="12">
        <f t="shared" si="26"/>
        <v>1.1304179849473142</v>
      </c>
      <c r="I327" s="8">
        <v>18329129</v>
      </c>
      <c r="J327" s="8">
        <f t="shared" si="27"/>
        <v>654611.75</v>
      </c>
      <c r="K327" s="13">
        <f t="shared" si="28"/>
        <v>0.75547506389281616</v>
      </c>
      <c r="L327" s="2">
        <v>601</v>
      </c>
      <c r="M327" s="13">
        <f t="shared" si="29"/>
        <v>0.64346895074946464</v>
      </c>
      <c r="N327" s="27"/>
      <c r="O327" s="14">
        <v>197044</v>
      </c>
      <c r="P327" s="8">
        <f t="shared" si="33"/>
        <v>7037.2857142857147</v>
      </c>
      <c r="Q327" s="9">
        <f t="shared" si="34"/>
        <v>123.1284687683969</v>
      </c>
      <c r="R327" s="8">
        <v>860000</v>
      </c>
      <c r="S327" s="4">
        <f t="shared" si="30"/>
        <v>6490.214285714319</v>
      </c>
      <c r="T327" s="21">
        <f t="shared" si="36"/>
        <v>9994.9300000000512</v>
      </c>
      <c r="U327" s="16">
        <f>T327+U326</f>
        <v>-11620.785000000007</v>
      </c>
    </row>
    <row r="328" spans="1:21" x14ac:dyDescent="0.25">
      <c r="A328" s="3">
        <v>43160</v>
      </c>
      <c r="B328" s="2">
        <v>31</v>
      </c>
      <c r="C328" s="8">
        <v>26518775</v>
      </c>
      <c r="D328" s="8">
        <f t="shared" si="25"/>
        <v>855444.3548387097</v>
      </c>
      <c r="E328" s="9">
        <v>56.69</v>
      </c>
      <c r="F328" s="2">
        <v>935</v>
      </c>
      <c r="G328" s="8">
        <v>2749987</v>
      </c>
      <c r="H328" s="12">
        <f t="shared" si="26"/>
        <v>1.1156974011464109</v>
      </c>
      <c r="I328" s="8">
        <v>19401844</v>
      </c>
      <c r="J328" s="8">
        <f t="shared" si="27"/>
        <v>625865.93548387091</v>
      </c>
      <c r="K328" s="13">
        <f t="shared" si="28"/>
        <v>0.73162670598472213</v>
      </c>
      <c r="L328" s="2">
        <v>602</v>
      </c>
      <c r="M328" s="13">
        <f t="shared" si="29"/>
        <v>0.6438502673796791</v>
      </c>
      <c r="N328" s="27"/>
      <c r="O328" s="14">
        <v>210417</v>
      </c>
      <c r="P328" s="8">
        <f t="shared" si="33"/>
        <v>6787.6451612903229</v>
      </c>
      <c r="Q328" s="9">
        <f t="shared" si="34"/>
        <v>126.02962213129167</v>
      </c>
      <c r="R328" s="8">
        <v>860000</v>
      </c>
      <c r="S328" s="4">
        <f t="shared" si="30"/>
        <v>-4555.6451612903038</v>
      </c>
      <c r="T328" s="21">
        <f t="shared" si="36"/>
        <v>-7767.3749999999682</v>
      </c>
      <c r="U328" s="16">
        <f t="shared" ref="U328:U337" si="37">T328+U327</f>
        <v>-19388.159999999974</v>
      </c>
    </row>
    <row r="329" spans="1:21" x14ac:dyDescent="0.25">
      <c r="A329" s="3">
        <v>43191</v>
      </c>
      <c r="B329" s="2">
        <v>30</v>
      </c>
      <c r="C329" s="8">
        <v>25140674</v>
      </c>
      <c r="D329" s="8">
        <f t="shared" si="25"/>
        <v>838022.46666666667</v>
      </c>
      <c r="E329" s="9">
        <v>60.05</v>
      </c>
      <c r="F329" s="2">
        <v>936</v>
      </c>
      <c r="G329" s="8">
        <v>2495854</v>
      </c>
      <c r="H329" s="12">
        <f t="shared" si="26"/>
        <v>1.1102174360405603</v>
      </c>
      <c r="I329" s="8">
        <v>19819470</v>
      </c>
      <c r="J329" s="8">
        <f t="shared" si="27"/>
        <v>660649</v>
      </c>
      <c r="K329" s="13">
        <f t="shared" si="28"/>
        <v>0.788342826449283</v>
      </c>
      <c r="L329" s="2">
        <v>609</v>
      </c>
      <c r="M329" s="13">
        <f t="shared" si="29"/>
        <v>0.65064102564102566</v>
      </c>
      <c r="N329" s="27"/>
      <c r="O329" s="14">
        <v>203929</v>
      </c>
      <c r="P329" s="8">
        <f t="shared" si="33"/>
        <v>6797.6333333333332</v>
      </c>
      <c r="Q329" s="9">
        <f t="shared" si="34"/>
        <v>123.28150483746795</v>
      </c>
      <c r="R329" s="8">
        <v>860000</v>
      </c>
      <c r="S329" s="4">
        <f t="shared" si="30"/>
        <v>-21977.533333333326</v>
      </c>
      <c r="T329" s="21">
        <f t="shared" si="36"/>
        <v>-36262.929999999986</v>
      </c>
      <c r="U329" s="16">
        <f t="shared" si="37"/>
        <v>-55651.08999999996</v>
      </c>
    </row>
    <row r="330" spans="1:21" x14ac:dyDescent="0.25">
      <c r="A330" s="3">
        <v>43221</v>
      </c>
      <c r="B330" s="2">
        <v>31</v>
      </c>
      <c r="C330" s="8">
        <v>27147275</v>
      </c>
      <c r="D330" s="8">
        <f t="shared" si="25"/>
        <v>875718.54838709673</v>
      </c>
      <c r="E330" s="9">
        <v>63.62</v>
      </c>
      <c r="F330" s="2">
        <v>935</v>
      </c>
      <c r="G330" s="8">
        <v>2537994</v>
      </c>
      <c r="H330" s="12">
        <f t="shared" si="26"/>
        <v>1.1031315786917952</v>
      </c>
      <c r="I330" s="8">
        <v>19227090</v>
      </c>
      <c r="J330" s="8">
        <f t="shared" si="27"/>
        <v>620228.70967741939</v>
      </c>
      <c r="K330" s="13">
        <f t="shared" si="28"/>
        <v>0.70825119648288826</v>
      </c>
      <c r="L330" s="2">
        <v>618</v>
      </c>
      <c r="M330" s="13">
        <f t="shared" si="29"/>
        <v>0.66096256684491983</v>
      </c>
      <c r="N330" s="27"/>
      <c r="O330" s="14">
        <v>217282</v>
      </c>
      <c r="P330" s="8">
        <f t="shared" si="33"/>
        <v>7009.0967741935483</v>
      </c>
      <c r="Q330" s="9">
        <f t="shared" si="34"/>
        <v>124.94028497528556</v>
      </c>
      <c r="R330" s="8">
        <v>860000</v>
      </c>
      <c r="S330" s="4">
        <f t="shared" si="30"/>
        <v>15718.548387096729</v>
      </c>
      <c r="T330" s="21">
        <f t="shared" si="36"/>
        <v>26800.124999999924</v>
      </c>
      <c r="U330" s="16">
        <f t="shared" si="37"/>
        <v>-28850.965000000037</v>
      </c>
    </row>
    <row r="331" spans="1:21" x14ac:dyDescent="0.25">
      <c r="A331" s="3">
        <v>43252</v>
      </c>
      <c r="B331" s="2">
        <v>30</v>
      </c>
      <c r="C331" s="8">
        <v>26126504</v>
      </c>
      <c r="D331" s="8">
        <f t="shared" si="25"/>
        <v>870883.46666666667</v>
      </c>
      <c r="E331" s="9">
        <v>61</v>
      </c>
      <c r="F331" s="2">
        <v>935</v>
      </c>
      <c r="G331" s="8">
        <v>2307953</v>
      </c>
      <c r="H331" s="12">
        <f t="shared" si="26"/>
        <v>1.0968972881683692</v>
      </c>
      <c r="I331" s="8">
        <v>18704482</v>
      </c>
      <c r="J331" s="8">
        <f t="shared" si="27"/>
        <v>623482.73333333328</v>
      </c>
      <c r="K331" s="13">
        <f t="shared" si="28"/>
        <v>0.71591981843418473</v>
      </c>
      <c r="L331" s="2">
        <v>623</v>
      </c>
      <c r="M331" s="13">
        <f t="shared" si="29"/>
        <v>0.66631016042780744</v>
      </c>
      <c r="N331" s="27"/>
      <c r="O331" s="14">
        <v>205389</v>
      </c>
      <c r="P331" s="8">
        <f t="shared" si="33"/>
        <v>6846.3</v>
      </c>
      <c r="Q331" s="9">
        <f t="shared" si="34"/>
        <v>127.20498176630686</v>
      </c>
      <c r="R331" s="8">
        <v>860000</v>
      </c>
      <c r="S331" s="4">
        <f t="shared" si="30"/>
        <v>10883.466666666674</v>
      </c>
      <c r="T331" s="21">
        <f t="shared" si="36"/>
        <v>17957.720000000012</v>
      </c>
      <c r="U331" s="16">
        <f t="shared" si="37"/>
        <v>-10893.245000000024</v>
      </c>
    </row>
    <row r="332" spans="1:21" x14ac:dyDescent="0.25">
      <c r="A332" s="3">
        <v>43282</v>
      </c>
      <c r="B332" s="2">
        <v>31</v>
      </c>
      <c r="C332" s="8">
        <v>26622354</v>
      </c>
      <c r="D332" s="8">
        <f t="shared" si="25"/>
        <v>858785.61290322582</v>
      </c>
      <c r="E332" s="9">
        <v>64.64</v>
      </c>
      <c r="F332" s="2">
        <v>938</v>
      </c>
      <c r="G332" s="8">
        <v>2435197</v>
      </c>
      <c r="H332" s="12">
        <f t="shared" si="26"/>
        <v>1.1006814070789717</v>
      </c>
      <c r="I332" s="8">
        <v>21966437</v>
      </c>
      <c r="J332" s="8">
        <f t="shared" si="27"/>
        <v>708594.74193548388</v>
      </c>
      <c r="K332" s="13">
        <f t="shared" si="28"/>
        <v>0.82511249756501626</v>
      </c>
      <c r="L332" s="2">
        <v>627</v>
      </c>
      <c r="M332" s="13">
        <f t="shared" si="29"/>
        <v>0.66844349680170578</v>
      </c>
      <c r="N332" s="27"/>
      <c r="O332" s="14">
        <v>212253</v>
      </c>
      <c r="P332" s="8">
        <f t="shared" si="33"/>
        <v>6846.8709677419356</v>
      </c>
      <c r="Q332" s="9">
        <f t="shared" si="34"/>
        <v>125.42745685573348</v>
      </c>
      <c r="R332" s="8">
        <v>860000</v>
      </c>
      <c r="S332" s="4">
        <f t="shared" si="30"/>
        <v>-1214.3870967741823</v>
      </c>
      <c r="T332" s="21">
        <f t="shared" si="36"/>
        <v>-2070.5299999999806</v>
      </c>
      <c r="U332" s="16">
        <f t="shared" si="37"/>
        <v>-12963.775000000005</v>
      </c>
    </row>
    <row r="333" spans="1:21" x14ac:dyDescent="0.25">
      <c r="A333" s="3">
        <v>43313</v>
      </c>
      <c r="B333" s="2">
        <v>31</v>
      </c>
      <c r="C333" s="8">
        <v>27860632</v>
      </c>
      <c r="D333" s="8">
        <f t="shared" si="25"/>
        <v>898730.06451612909</v>
      </c>
      <c r="E333" s="9">
        <v>61.54</v>
      </c>
      <c r="F333" s="2">
        <v>939</v>
      </c>
      <c r="G333" s="8">
        <v>2887227</v>
      </c>
      <c r="H333" s="12">
        <f t="shared" si="26"/>
        <v>1.1156120681180639</v>
      </c>
      <c r="I333" s="8">
        <v>20723079</v>
      </c>
      <c r="J333" s="8">
        <f t="shared" si="27"/>
        <v>668486.41935483867</v>
      </c>
      <c r="K333" s="13">
        <f t="shared" si="28"/>
        <v>0.74381223656376494</v>
      </c>
      <c r="L333" s="2">
        <v>640</v>
      </c>
      <c r="M333" s="13">
        <f t="shared" si="29"/>
        <v>0.68157614483493079</v>
      </c>
      <c r="N333" s="27"/>
      <c r="O333" s="14">
        <v>213710</v>
      </c>
      <c r="P333" s="8">
        <f t="shared" si="33"/>
        <v>6893.8709677419356</v>
      </c>
      <c r="Q333" s="9">
        <f t="shared" si="34"/>
        <v>130.36653408825043</v>
      </c>
      <c r="R333" s="8">
        <v>860000</v>
      </c>
      <c r="S333" s="4">
        <f t="shared" si="30"/>
        <v>38730.064516129089</v>
      </c>
      <c r="T333" s="21">
        <f t="shared" si="36"/>
        <v>66034.760000000097</v>
      </c>
      <c r="U333" s="16">
        <f t="shared" si="37"/>
        <v>53070.985000000088</v>
      </c>
    </row>
    <row r="334" spans="1:21" x14ac:dyDescent="0.25">
      <c r="A334" s="3">
        <v>43344</v>
      </c>
      <c r="B334" s="2">
        <v>30</v>
      </c>
      <c r="C334" s="8">
        <v>26804072</v>
      </c>
      <c r="D334" s="8">
        <f t="shared" si="25"/>
        <v>893469.06666666665</v>
      </c>
      <c r="E334" s="9">
        <v>63.81</v>
      </c>
      <c r="F334" s="2">
        <v>940</v>
      </c>
      <c r="G334" s="8">
        <v>2461756</v>
      </c>
      <c r="H334" s="12">
        <f t="shared" si="26"/>
        <v>1.1011307223191089</v>
      </c>
      <c r="I334" s="8">
        <v>20344719</v>
      </c>
      <c r="J334" s="8">
        <f t="shared" si="27"/>
        <v>678157.3</v>
      </c>
      <c r="K334" s="13">
        <f t="shared" si="28"/>
        <v>0.75901598085544619</v>
      </c>
      <c r="L334" s="2">
        <v>643</v>
      </c>
      <c r="M334" s="13">
        <f t="shared" si="29"/>
        <v>0.68404255319148932</v>
      </c>
      <c r="N334" s="27"/>
      <c r="O334" s="14">
        <v>205761</v>
      </c>
      <c r="P334" s="8">
        <f t="shared" si="33"/>
        <v>6858.7</v>
      </c>
      <c r="Q334" s="9">
        <f t="shared" si="34"/>
        <v>130.26799053270543</v>
      </c>
      <c r="R334" s="8">
        <v>860000</v>
      </c>
      <c r="S334" s="4">
        <f t="shared" si="30"/>
        <v>33469.066666666651</v>
      </c>
      <c r="T334" s="21">
        <f t="shared" si="36"/>
        <v>55223.959999999977</v>
      </c>
      <c r="U334" s="16">
        <f t="shared" si="37"/>
        <v>108294.94500000007</v>
      </c>
    </row>
    <row r="335" spans="1:21" x14ac:dyDescent="0.25">
      <c r="A335" s="3">
        <v>43374</v>
      </c>
      <c r="B335" s="2">
        <v>31</v>
      </c>
      <c r="C335" s="8">
        <v>27620246</v>
      </c>
      <c r="D335" s="8">
        <f t="shared" si="25"/>
        <v>890975.67741935479</v>
      </c>
      <c r="E335" s="9">
        <v>64.459999999999994</v>
      </c>
      <c r="F335" s="2">
        <v>947</v>
      </c>
      <c r="G335" s="8">
        <v>682738</v>
      </c>
      <c r="H335" s="12">
        <f t="shared" si="26"/>
        <v>1.0253452546538455</v>
      </c>
      <c r="I335" s="8">
        <v>22272756</v>
      </c>
      <c r="J335" s="8">
        <f t="shared" si="27"/>
        <v>718476</v>
      </c>
      <c r="K335" s="13">
        <f t="shared" si="28"/>
        <v>0.80639238332634688</v>
      </c>
      <c r="L335" s="2">
        <v>646</v>
      </c>
      <c r="M335" s="13">
        <f t="shared" si="29"/>
        <v>0.68215417106652587</v>
      </c>
      <c r="N335" s="27"/>
      <c r="O335" s="14">
        <v>211449</v>
      </c>
      <c r="P335" s="8">
        <f t="shared" si="33"/>
        <v>6820.9354838709678</v>
      </c>
      <c r="Q335" s="9">
        <f t="shared" si="34"/>
        <v>130.62367757709896</v>
      </c>
      <c r="R335" s="8">
        <v>860000</v>
      </c>
      <c r="S335" s="4">
        <f t="shared" si="30"/>
        <v>30975.67741935479</v>
      </c>
      <c r="T335" s="21">
        <f t="shared" si="36"/>
        <v>52813.529999999919</v>
      </c>
      <c r="U335" s="16">
        <f t="shared" si="37"/>
        <v>161108.47499999998</v>
      </c>
    </row>
    <row r="336" spans="1:21" x14ac:dyDescent="0.25">
      <c r="A336" s="3">
        <v>43405</v>
      </c>
      <c r="B336" s="2">
        <v>30</v>
      </c>
      <c r="C336" s="8">
        <v>26593587</v>
      </c>
      <c r="D336" s="8">
        <f t="shared" si="25"/>
        <v>886452.9</v>
      </c>
      <c r="E336" s="9">
        <v>50.59</v>
      </c>
      <c r="F336" s="2">
        <v>943</v>
      </c>
      <c r="G336" s="8">
        <v>548880</v>
      </c>
      <c r="H336" s="12">
        <f t="shared" si="26"/>
        <v>1.0210745315737282</v>
      </c>
      <c r="I336" s="8">
        <v>21464273</v>
      </c>
      <c r="J336" s="8">
        <f t="shared" si="27"/>
        <v>715475.76666666672</v>
      </c>
      <c r="K336" s="13">
        <f t="shared" si="28"/>
        <v>0.80712214565113005</v>
      </c>
      <c r="L336" s="2">
        <v>632</v>
      </c>
      <c r="M336" s="13">
        <f t="shared" si="29"/>
        <v>0.6702014846235419</v>
      </c>
      <c r="N336" s="27"/>
      <c r="O336" s="14">
        <v>204981</v>
      </c>
      <c r="P336" s="8">
        <f t="shared" si="33"/>
        <v>6832.7</v>
      </c>
      <c r="Q336" s="9">
        <f t="shared" si="34"/>
        <v>129.73683902410468</v>
      </c>
      <c r="R336" s="8">
        <v>860000</v>
      </c>
      <c r="S336" s="4">
        <f t="shared" si="30"/>
        <v>26452.900000000023</v>
      </c>
      <c r="T336" s="21">
        <f t="shared" si="36"/>
        <v>43647.28500000004</v>
      </c>
      <c r="U336" s="16">
        <f t="shared" si="37"/>
        <v>204755.76</v>
      </c>
    </row>
    <row r="337" spans="1:21" x14ac:dyDescent="0.25">
      <c r="A337" s="3">
        <v>43435</v>
      </c>
      <c r="B337" s="2">
        <v>31</v>
      </c>
      <c r="C337" s="8">
        <v>27060109</v>
      </c>
      <c r="D337" s="8">
        <f t="shared" si="25"/>
        <v>872906.74193548388</v>
      </c>
      <c r="E337" s="9">
        <v>42.57</v>
      </c>
      <c r="F337" s="2">
        <v>932</v>
      </c>
      <c r="G337" s="8">
        <v>161257</v>
      </c>
      <c r="H337" s="12">
        <f t="shared" si="26"/>
        <v>1.0059949398583998</v>
      </c>
      <c r="I337" s="8">
        <v>22661017</v>
      </c>
      <c r="J337" s="8">
        <f t="shared" si="27"/>
        <v>731000.54838709673</v>
      </c>
      <c r="K337" s="13">
        <f t="shared" si="28"/>
        <v>0.83743258388205311</v>
      </c>
      <c r="L337" s="2">
        <v>639</v>
      </c>
      <c r="M337" s="13">
        <f t="shared" si="29"/>
        <v>0.68562231759656656</v>
      </c>
      <c r="N337" s="27"/>
      <c r="O337" s="14">
        <v>207376</v>
      </c>
      <c r="P337" s="8">
        <f t="shared" si="33"/>
        <v>6689.5483870967746</v>
      </c>
      <c r="Q337" s="9">
        <f t="shared" si="34"/>
        <v>130.48814231155004</v>
      </c>
      <c r="R337" s="8">
        <v>860000</v>
      </c>
      <c r="S337" s="4">
        <f t="shared" si="30"/>
        <v>12906.741935483878</v>
      </c>
      <c r="T337" s="21">
        <f t="shared" si="36"/>
        <v>22005.995000000014</v>
      </c>
      <c r="U337" s="16">
        <f t="shared" si="37"/>
        <v>226761.75500000003</v>
      </c>
    </row>
    <row r="338" spans="1:21" x14ac:dyDescent="0.25">
      <c r="A338" s="3">
        <v>43466</v>
      </c>
      <c r="B338" s="2">
        <v>31</v>
      </c>
      <c r="C338" s="8">
        <v>26871315</v>
      </c>
      <c r="D338" s="8">
        <f t="shared" si="25"/>
        <v>866816.61290322582</v>
      </c>
      <c r="E338" s="9">
        <v>45.22</v>
      </c>
      <c r="F338" s="2">
        <v>907</v>
      </c>
      <c r="G338" s="8">
        <v>770409</v>
      </c>
      <c r="H338" s="12">
        <f t="shared" si="26"/>
        <v>1.0295165616090107</v>
      </c>
      <c r="I338" s="8">
        <v>21761510</v>
      </c>
      <c r="J338" s="8">
        <f t="shared" si="27"/>
        <v>701984.19354838715</v>
      </c>
      <c r="K338" s="13">
        <f t="shared" si="28"/>
        <v>0.80984164712445228</v>
      </c>
      <c r="L338" s="2">
        <v>622</v>
      </c>
      <c r="M338" s="13">
        <f t="shared" si="29"/>
        <v>0.68577728776185221</v>
      </c>
      <c r="N338" s="27"/>
      <c r="O338" s="14">
        <v>207537</v>
      </c>
      <c r="P338" s="8">
        <f t="shared" si="33"/>
        <v>6694.7419354838712</v>
      </c>
      <c r="Q338" s="9">
        <f t="shared" si="34"/>
        <v>129.47722574769799</v>
      </c>
      <c r="R338" s="8">
        <v>890000</v>
      </c>
      <c r="S338" s="4">
        <f t="shared" si="30"/>
        <v>-23183.387096774182</v>
      </c>
      <c r="T338" s="21">
        <f t="shared" si="36"/>
        <v>-39527.674999999981</v>
      </c>
      <c r="U338" s="16">
        <f>T338</f>
        <v>-39527.674999999981</v>
      </c>
    </row>
    <row r="339" spans="1:21" x14ac:dyDescent="0.25">
      <c r="A339" s="3">
        <v>43497</v>
      </c>
      <c r="B339" s="2">
        <v>28</v>
      </c>
      <c r="C339" s="8">
        <v>23916734</v>
      </c>
      <c r="D339" s="8">
        <f t="shared" si="25"/>
        <v>854169.07142857148</v>
      </c>
      <c r="E339" s="9">
        <v>48.79</v>
      </c>
      <c r="F339" s="2">
        <v>885</v>
      </c>
      <c r="G339" s="8">
        <v>138463</v>
      </c>
      <c r="H339" s="12">
        <f t="shared" si="26"/>
        <v>1.005823089492083</v>
      </c>
      <c r="I339" s="8">
        <v>19977255</v>
      </c>
      <c r="J339" s="8">
        <f t="shared" si="27"/>
        <v>713473.39285714284</v>
      </c>
      <c r="K339" s="13">
        <f t="shared" si="28"/>
        <v>0.83528357174520573</v>
      </c>
      <c r="L339" s="2">
        <v>609</v>
      </c>
      <c r="M339" s="13">
        <f t="shared" si="29"/>
        <v>0.68813559322033901</v>
      </c>
      <c r="N339" s="27"/>
      <c r="O339" s="14">
        <v>186210</v>
      </c>
      <c r="P339" s="8">
        <f t="shared" si="33"/>
        <v>6650.3571428571431</v>
      </c>
      <c r="Q339" s="9">
        <f t="shared" si="34"/>
        <v>128.43957896998012</v>
      </c>
      <c r="R339" s="8">
        <v>890000</v>
      </c>
      <c r="S339" s="4">
        <f t="shared" si="30"/>
        <v>-35830.928571428522</v>
      </c>
      <c r="T339" s="21">
        <f t="shared" si="36"/>
        <v>-55179.629999999925</v>
      </c>
      <c r="U339" s="16">
        <f>T339+U338</f>
        <v>-94707.304999999906</v>
      </c>
    </row>
    <row r="340" spans="1:21" x14ac:dyDescent="0.25">
      <c r="A340" s="3">
        <v>43525</v>
      </c>
      <c r="B340" s="2">
        <v>31</v>
      </c>
      <c r="C340" s="8">
        <v>26091753</v>
      </c>
      <c r="D340" s="8">
        <f t="shared" si="25"/>
        <v>841669.45161290327</v>
      </c>
      <c r="E340" s="9">
        <v>51.82</v>
      </c>
      <c r="F340" s="2">
        <v>875</v>
      </c>
      <c r="G340" s="8">
        <v>718013</v>
      </c>
      <c r="H340" s="12">
        <f t="shared" si="26"/>
        <v>1.0282974839341776</v>
      </c>
      <c r="I340" s="8">
        <v>21522203</v>
      </c>
      <c r="J340" s="8">
        <f t="shared" si="27"/>
        <v>694264.61290322582</v>
      </c>
      <c r="K340" s="13">
        <f t="shared" si="28"/>
        <v>0.82486611765794349</v>
      </c>
      <c r="L340" s="2">
        <v>601</v>
      </c>
      <c r="M340" s="13">
        <f t="shared" si="29"/>
        <v>0.68685714285714283</v>
      </c>
      <c r="N340" s="27"/>
      <c r="O340" s="14">
        <v>202088</v>
      </c>
      <c r="P340" s="8">
        <f t="shared" si="33"/>
        <v>6518.9677419354839</v>
      </c>
      <c r="Q340" s="9">
        <f t="shared" si="34"/>
        <v>129.11084774949526</v>
      </c>
      <c r="R340" s="8">
        <v>890000</v>
      </c>
      <c r="S340" s="4">
        <f t="shared" si="30"/>
        <v>-48330.548387096729</v>
      </c>
      <c r="T340" s="21">
        <f t="shared" si="36"/>
        <v>-82403.584999999919</v>
      </c>
      <c r="U340" s="16">
        <f t="shared" ref="U340:U361" si="38">T340+U339</f>
        <v>-177110.88999999984</v>
      </c>
    </row>
    <row r="341" spans="1:21" x14ac:dyDescent="0.25">
      <c r="A341" s="3">
        <v>43556</v>
      </c>
      <c r="B341" s="2">
        <v>30</v>
      </c>
      <c r="C341" s="8">
        <v>25117007</v>
      </c>
      <c r="D341" s="8">
        <f t="shared" si="25"/>
        <v>837233.56666666665</v>
      </c>
      <c r="E341" s="9">
        <v>57.53</v>
      </c>
      <c r="F341" s="2">
        <v>874</v>
      </c>
      <c r="G341" s="8">
        <v>530862</v>
      </c>
      <c r="H341" s="12">
        <f t="shared" si="26"/>
        <v>1.0215919169109269</v>
      </c>
      <c r="I341" s="8">
        <v>20661705</v>
      </c>
      <c r="J341" s="8">
        <f t="shared" si="27"/>
        <v>688723.5</v>
      </c>
      <c r="K341" s="13">
        <f t="shared" si="28"/>
        <v>0.82261811687992925</v>
      </c>
      <c r="L341" s="2">
        <v>600</v>
      </c>
      <c r="M341" s="13">
        <f t="shared" si="29"/>
        <v>0.68649885583524028</v>
      </c>
      <c r="N341" s="27"/>
      <c r="O341" s="14">
        <v>192318</v>
      </c>
      <c r="P341" s="8">
        <f t="shared" si="33"/>
        <v>6410.6</v>
      </c>
      <c r="Q341" s="9">
        <f t="shared" si="34"/>
        <v>130.60143616302165</v>
      </c>
      <c r="R341" s="8">
        <v>890000</v>
      </c>
      <c r="S341" s="4">
        <f t="shared" si="30"/>
        <v>-52766.433333333349</v>
      </c>
      <c r="T341" s="21">
        <f t="shared" si="36"/>
        <v>-87064.61500000002</v>
      </c>
      <c r="U341" s="16">
        <f t="shared" si="38"/>
        <v>-264175.50499999989</v>
      </c>
    </row>
    <row r="342" spans="1:21" x14ac:dyDescent="0.25">
      <c r="A342" s="3">
        <v>43586</v>
      </c>
      <c r="B342" s="2">
        <v>31</v>
      </c>
      <c r="C342" s="8">
        <v>23370848</v>
      </c>
      <c r="D342" s="8">
        <f t="shared" ref="D342:D405" si="39">+C342/B342</f>
        <v>753898.32258064521</v>
      </c>
      <c r="E342" s="9">
        <v>54.63</v>
      </c>
      <c r="F342" s="2">
        <v>875</v>
      </c>
      <c r="G342" s="8">
        <v>827516</v>
      </c>
      <c r="H342" s="12">
        <f t="shared" ref="H342:H397" si="40">+(C342)/(C342-G342)</f>
        <v>1.036707794570918</v>
      </c>
      <c r="I342" s="8">
        <v>19068723</v>
      </c>
      <c r="J342" s="8">
        <f t="shared" ref="J342:J405" si="41">+I342/B342</f>
        <v>615120.09677419357</v>
      </c>
      <c r="K342" s="13">
        <f t="shared" si="28"/>
        <v>0.81591917417801874</v>
      </c>
      <c r="L342" s="2">
        <v>600</v>
      </c>
      <c r="M342" s="13">
        <f t="shared" si="29"/>
        <v>0.68571428571428572</v>
      </c>
      <c r="N342" s="27"/>
      <c r="O342" s="14">
        <v>181169</v>
      </c>
      <c r="P342" s="8">
        <f t="shared" si="33"/>
        <v>5844.1612903225805</v>
      </c>
      <c r="Q342" s="9">
        <f t="shared" si="34"/>
        <v>129.00025942628156</v>
      </c>
      <c r="R342" s="8">
        <v>890000</v>
      </c>
      <c r="S342" s="4">
        <f t="shared" si="30"/>
        <v>-136101.67741935479</v>
      </c>
      <c r="T342" s="21">
        <f t="shared" si="36"/>
        <v>-232053.35999999993</v>
      </c>
      <c r="U342" s="16">
        <f t="shared" si="38"/>
        <v>-496228.86499999982</v>
      </c>
    </row>
    <row r="343" spans="1:21" x14ac:dyDescent="0.25">
      <c r="A343" s="3">
        <v>43617</v>
      </c>
      <c r="B343" s="2">
        <v>30</v>
      </c>
      <c r="C343" s="8">
        <v>24660892</v>
      </c>
      <c r="D343" s="8">
        <f t="shared" si="39"/>
        <v>822029.73333333328</v>
      </c>
      <c r="E343" s="9">
        <v>48.59</v>
      </c>
      <c r="F343" s="2">
        <v>871</v>
      </c>
      <c r="G343" s="8">
        <v>1559011</v>
      </c>
      <c r="H343" s="12">
        <f t="shared" si="40"/>
        <v>1.0674841585410295</v>
      </c>
      <c r="I343" s="8">
        <v>19619913</v>
      </c>
      <c r="J343" s="8">
        <f t="shared" si="41"/>
        <v>653997.1</v>
      </c>
      <c r="K343" s="13">
        <f t="shared" si="28"/>
        <v>0.7955881320107967</v>
      </c>
      <c r="L343" s="2">
        <v>598</v>
      </c>
      <c r="M343" s="13">
        <f t="shared" si="29"/>
        <v>0.68656716417910446</v>
      </c>
      <c r="N343" s="27"/>
      <c r="O343" s="14">
        <v>189244</v>
      </c>
      <c r="P343" s="8">
        <f t="shared" si="33"/>
        <v>6308.1333333333332</v>
      </c>
      <c r="Q343" s="9">
        <f t="shared" si="34"/>
        <v>130.31267569909747</v>
      </c>
      <c r="R343" s="8">
        <v>890000</v>
      </c>
      <c r="S343" s="4">
        <f t="shared" si="30"/>
        <v>-67970.266666666721</v>
      </c>
      <c r="T343" s="21">
        <f t="shared" si="36"/>
        <v>-112150.94000000009</v>
      </c>
      <c r="U343" s="16">
        <f t="shared" si="38"/>
        <v>-608379.80499999993</v>
      </c>
    </row>
    <row r="344" spans="1:21" x14ac:dyDescent="0.25">
      <c r="A344" s="3">
        <v>43647</v>
      </c>
      <c r="B344" s="2">
        <v>31</v>
      </c>
      <c r="C344" s="8">
        <v>25191267</v>
      </c>
      <c r="D344" s="8">
        <f t="shared" si="39"/>
        <v>812621.51612903224</v>
      </c>
      <c r="E344" s="9">
        <v>51.23</v>
      </c>
      <c r="F344" s="2">
        <v>876</v>
      </c>
      <c r="G344" s="8">
        <v>1615452</v>
      </c>
      <c r="H344" s="12">
        <f t="shared" si="40"/>
        <v>1.0685215760303515</v>
      </c>
      <c r="I344" s="8">
        <v>20004246</v>
      </c>
      <c r="J344" s="8">
        <f t="shared" si="41"/>
        <v>645298.25806451612</v>
      </c>
      <c r="K344" s="13">
        <f t="shared" si="28"/>
        <v>0.79409447726468063</v>
      </c>
      <c r="L344" s="2">
        <v>602</v>
      </c>
      <c r="M344" s="13">
        <f t="shared" si="29"/>
        <v>0.68721461187214616</v>
      </c>
      <c r="N344" s="27"/>
      <c r="O344" s="14">
        <v>190987</v>
      </c>
      <c r="P344" s="8">
        <f t="shared" si="33"/>
        <v>6160.8709677419356</v>
      </c>
      <c r="Q344" s="9">
        <f t="shared" si="34"/>
        <v>131.90042777780687</v>
      </c>
      <c r="R344" s="8">
        <v>890000</v>
      </c>
      <c r="S344" s="4">
        <f t="shared" si="30"/>
        <v>-77378.483870967757</v>
      </c>
      <c r="T344" s="21">
        <f t="shared" si="36"/>
        <v>-131930.31500000003</v>
      </c>
      <c r="U344" s="16">
        <f t="shared" si="38"/>
        <v>-740310.12</v>
      </c>
    </row>
    <row r="345" spans="1:21" x14ac:dyDescent="0.25">
      <c r="A345" s="3">
        <v>43678</v>
      </c>
      <c r="B345" s="2">
        <v>31</v>
      </c>
      <c r="C345" s="8">
        <v>25645254</v>
      </c>
      <c r="D345" s="8">
        <f t="shared" si="39"/>
        <v>827266.25806451612</v>
      </c>
      <c r="E345" s="9">
        <v>48.58</v>
      </c>
      <c r="F345" s="2">
        <v>883</v>
      </c>
      <c r="G345" s="8">
        <v>1510500</v>
      </c>
      <c r="H345" s="12">
        <f t="shared" si="40"/>
        <v>1.0625860947246448</v>
      </c>
      <c r="I345" s="8">
        <v>20806792</v>
      </c>
      <c r="J345" s="8">
        <f t="shared" si="41"/>
        <v>671186.83870967745</v>
      </c>
      <c r="K345" s="13">
        <f t="shared" si="28"/>
        <v>0.81133109463450825</v>
      </c>
      <c r="L345" s="2">
        <v>612</v>
      </c>
      <c r="M345" s="13">
        <f t="shared" si="29"/>
        <v>0.69309173272933178</v>
      </c>
      <c r="N345" s="27"/>
      <c r="O345" s="14">
        <v>195128</v>
      </c>
      <c r="P345" s="8">
        <f t="shared" si="33"/>
        <v>6294.4516129032254</v>
      </c>
      <c r="Q345" s="9">
        <f t="shared" si="34"/>
        <v>131.42785248657293</v>
      </c>
      <c r="R345" s="8">
        <v>890000</v>
      </c>
      <c r="S345" s="4">
        <f t="shared" si="30"/>
        <v>-62733.741935483878</v>
      </c>
      <c r="T345" s="21">
        <f t="shared" si="36"/>
        <v>-106961.03000000001</v>
      </c>
      <c r="U345" s="16">
        <f t="shared" si="38"/>
        <v>-847271.15</v>
      </c>
    </row>
    <row r="346" spans="1:21" x14ac:dyDescent="0.25">
      <c r="A346" s="3">
        <v>43709</v>
      </c>
      <c r="B346" s="2">
        <v>30</v>
      </c>
      <c r="C346" s="8">
        <v>25667718</v>
      </c>
      <c r="D346" s="8">
        <f t="shared" si="39"/>
        <v>855590.6</v>
      </c>
      <c r="E346" s="9">
        <v>50.424999999999997</v>
      </c>
      <c r="F346" s="2">
        <v>892</v>
      </c>
      <c r="G346" s="8">
        <v>1995561</v>
      </c>
      <c r="H346" s="12">
        <f t="shared" si="40"/>
        <v>1.0842999224785472</v>
      </c>
      <c r="I346" s="8">
        <v>20166393</v>
      </c>
      <c r="J346" s="8">
        <f t="shared" si="41"/>
        <v>672213.1</v>
      </c>
      <c r="K346" s="13">
        <f t="shared" si="28"/>
        <v>0.7856714414580992</v>
      </c>
      <c r="L346" s="2">
        <v>619</v>
      </c>
      <c r="M346" s="13">
        <f t="shared" si="29"/>
        <v>0.69394618834080712</v>
      </c>
      <c r="N346" s="27"/>
      <c r="O346" s="14">
        <v>195025</v>
      </c>
      <c r="P346" s="8">
        <f t="shared" ref="P346:P409" si="42">+O346/B346</f>
        <v>6500.833333333333</v>
      </c>
      <c r="Q346" s="9">
        <f t="shared" ref="Q346:Q409" si="43">+(D346-(N346/B346))/P346</f>
        <v>131.61244968593769</v>
      </c>
      <c r="R346" s="8">
        <v>890000</v>
      </c>
      <c r="S346" s="4">
        <f t="shared" si="30"/>
        <v>-34409.400000000023</v>
      </c>
      <c r="T346" s="21">
        <f t="shared" si="36"/>
        <v>-56775.510000000038</v>
      </c>
      <c r="U346" s="16">
        <f t="shared" si="38"/>
        <v>-904046.66</v>
      </c>
    </row>
    <row r="347" spans="1:21" x14ac:dyDescent="0.25">
      <c r="A347" s="3">
        <v>43739</v>
      </c>
      <c r="B347" s="2">
        <v>31</v>
      </c>
      <c r="C347" s="8">
        <v>26875424</v>
      </c>
      <c r="D347" s="8">
        <f t="shared" si="39"/>
        <v>866949.16129032255</v>
      </c>
      <c r="E347" s="9">
        <v>47.86</v>
      </c>
      <c r="F347" s="2">
        <v>892</v>
      </c>
      <c r="G347" s="8">
        <v>1666812</v>
      </c>
      <c r="H347" s="12">
        <f t="shared" si="40"/>
        <v>1.0661207368339043</v>
      </c>
      <c r="I347" s="8">
        <v>21859770</v>
      </c>
      <c r="J347" s="8">
        <f t="shared" si="41"/>
        <v>705153.87096774194</v>
      </c>
      <c r="K347" s="13">
        <f t="shared" si="28"/>
        <v>0.81337395830480663</v>
      </c>
      <c r="L347" s="2">
        <v>620</v>
      </c>
      <c r="M347" s="13">
        <f t="shared" si="29"/>
        <v>0.69506726457399104</v>
      </c>
      <c r="N347" s="27"/>
      <c r="O347" s="14">
        <v>202323</v>
      </c>
      <c r="P347" s="8">
        <f t="shared" si="42"/>
        <v>6526.5483870967746</v>
      </c>
      <c r="Q347" s="9">
        <f t="shared" si="43"/>
        <v>132.83425018411154</v>
      </c>
      <c r="R347" s="8">
        <v>890000</v>
      </c>
      <c r="S347" s="4">
        <f t="shared" si="30"/>
        <v>-23050.838709677453</v>
      </c>
      <c r="T347" s="21">
        <f t="shared" si="36"/>
        <v>-39301.680000000058</v>
      </c>
      <c r="U347" s="16">
        <f t="shared" si="38"/>
        <v>-943348.34000000008</v>
      </c>
    </row>
    <row r="348" spans="1:21" x14ac:dyDescent="0.25">
      <c r="A348" s="3">
        <v>43770</v>
      </c>
      <c r="B348" s="2">
        <v>30</v>
      </c>
      <c r="C348" s="8">
        <v>26077432</v>
      </c>
      <c r="D348" s="8">
        <f t="shared" si="39"/>
        <v>869247.73333333328</v>
      </c>
      <c r="E348" s="9">
        <v>50.83</v>
      </c>
      <c r="F348" s="2">
        <v>896</v>
      </c>
      <c r="G348" s="8">
        <v>979322</v>
      </c>
      <c r="H348" s="12">
        <f t="shared" si="40"/>
        <v>1.0390197508896089</v>
      </c>
      <c r="I348" s="8">
        <v>21410925</v>
      </c>
      <c r="J348" s="8">
        <f t="shared" si="41"/>
        <v>713697.5</v>
      </c>
      <c r="K348" s="13">
        <f t="shared" si="28"/>
        <v>0.82105189652109911</v>
      </c>
      <c r="L348" s="2">
        <v>622</v>
      </c>
      <c r="M348" s="13">
        <f t="shared" si="29"/>
        <v>0.6941964285714286</v>
      </c>
      <c r="N348" s="27"/>
      <c r="O348" s="14">
        <v>198615</v>
      </c>
      <c r="P348" s="8">
        <f t="shared" si="42"/>
        <v>6620.5</v>
      </c>
      <c r="Q348" s="9">
        <f t="shared" si="43"/>
        <v>131.29638748332201</v>
      </c>
      <c r="R348" s="8">
        <v>890000</v>
      </c>
      <c r="S348" s="4">
        <f t="shared" si="30"/>
        <v>-20752.266666666721</v>
      </c>
      <c r="T348" s="21">
        <f t="shared" si="36"/>
        <v>-34241.240000000085</v>
      </c>
      <c r="U348" s="16">
        <f t="shared" si="38"/>
        <v>-977589.58000000019</v>
      </c>
    </row>
    <row r="349" spans="1:21" x14ac:dyDescent="0.25">
      <c r="A349" s="3">
        <v>43800</v>
      </c>
      <c r="B349" s="2">
        <v>31</v>
      </c>
      <c r="C349" s="8">
        <v>26756650</v>
      </c>
      <c r="D349" s="8">
        <f t="shared" si="39"/>
        <v>863117.74193548388</v>
      </c>
      <c r="E349" s="9">
        <v>53.56</v>
      </c>
      <c r="F349" s="2">
        <v>898</v>
      </c>
      <c r="G349" s="8">
        <v>1598960</v>
      </c>
      <c r="H349" s="12">
        <f t="shared" si="40"/>
        <v>1.0635575046834587</v>
      </c>
      <c r="I349" s="8">
        <v>21733602</v>
      </c>
      <c r="J349" s="8">
        <f t="shared" si="41"/>
        <v>701083.93548387091</v>
      </c>
      <c r="K349" s="13">
        <f t="shared" si="28"/>
        <v>0.81226917420529099</v>
      </c>
      <c r="L349" s="2">
        <v>624</v>
      </c>
      <c r="M349" s="13">
        <f t="shared" si="29"/>
        <v>0.69487750556792871</v>
      </c>
      <c r="N349" s="27"/>
      <c r="O349" s="14">
        <v>203184</v>
      </c>
      <c r="P349" s="8">
        <f t="shared" si="42"/>
        <v>6554.322580645161</v>
      </c>
      <c r="Q349" s="9">
        <f t="shared" si="43"/>
        <v>131.68679620442555</v>
      </c>
      <c r="R349" s="8">
        <v>890000</v>
      </c>
      <c r="S349" s="4">
        <f t="shared" si="30"/>
        <v>-26882.258064516122</v>
      </c>
      <c r="T349" s="21">
        <f t="shared" si="36"/>
        <v>-45834.249999999985</v>
      </c>
      <c r="U349" s="16">
        <f t="shared" si="38"/>
        <v>-1023423.8300000002</v>
      </c>
    </row>
    <row r="350" spans="1:21" x14ac:dyDescent="0.25">
      <c r="A350" s="3">
        <v>43831</v>
      </c>
      <c r="B350" s="2">
        <v>31</v>
      </c>
      <c r="C350" s="8">
        <v>26766844</v>
      </c>
      <c r="D350" s="8">
        <f t="shared" si="39"/>
        <v>863446.58064516133</v>
      </c>
      <c r="E350" s="9">
        <v>51.71</v>
      </c>
      <c r="F350" s="2">
        <v>908</v>
      </c>
      <c r="G350" s="8">
        <v>1350820</v>
      </c>
      <c r="H350" s="12">
        <f t="shared" si="40"/>
        <v>1.0531483602628011</v>
      </c>
      <c r="I350" s="8">
        <v>23008071</v>
      </c>
      <c r="J350" s="8">
        <f t="shared" si="41"/>
        <v>742195.83870967745</v>
      </c>
      <c r="K350" s="13">
        <f t="shared" si="28"/>
        <v>0.85957354554014664</v>
      </c>
      <c r="L350" s="2">
        <v>650</v>
      </c>
      <c r="M350" s="13">
        <f t="shared" si="29"/>
        <v>0.71585903083700442</v>
      </c>
      <c r="N350" s="27"/>
      <c r="O350" s="14">
        <v>203595</v>
      </c>
      <c r="P350" s="8">
        <f t="shared" si="42"/>
        <v>6567.5806451612907</v>
      </c>
      <c r="Q350" s="9">
        <f t="shared" si="43"/>
        <v>131.47102826690244</v>
      </c>
      <c r="R350" s="8">
        <v>890000</v>
      </c>
      <c r="S350" s="4">
        <f t="shared" si="30"/>
        <v>-26553.419354838668</v>
      </c>
      <c r="T350" s="21">
        <f t="shared" ref="T350:T380" si="44">S350*0.057*B350</f>
        <v>-46919.891999999927</v>
      </c>
      <c r="U350" s="16">
        <f>T350</f>
        <v>-46919.891999999927</v>
      </c>
    </row>
    <row r="351" spans="1:21" x14ac:dyDescent="0.25">
      <c r="A351" s="3">
        <v>43862</v>
      </c>
      <c r="B351" s="2">
        <v>29</v>
      </c>
      <c r="C351" s="8">
        <v>25391640</v>
      </c>
      <c r="D351" s="8">
        <f t="shared" si="39"/>
        <v>875573.79310344823</v>
      </c>
      <c r="E351" s="9">
        <v>44.47</v>
      </c>
      <c r="F351" s="2">
        <v>909</v>
      </c>
      <c r="G351" s="8">
        <v>1437965</v>
      </c>
      <c r="H351" s="12">
        <f t="shared" si="40"/>
        <v>1.0600310808258022</v>
      </c>
      <c r="I351" s="8">
        <v>21622992</v>
      </c>
      <c r="J351" s="8">
        <f t="shared" si="41"/>
        <v>745620.41379310342</v>
      </c>
      <c r="K351" s="13">
        <f t="shared" si="28"/>
        <v>0.8515791811793173</v>
      </c>
      <c r="L351" s="2">
        <v>651</v>
      </c>
      <c r="M351" s="13">
        <f t="shared" si="29"/>
        <v>0.71617161716171618</v>
      </c>
      <c r="N351" s="27"/>
      <c r="O351" s="14">
        <v>192406</v>
      </c>
      <c r="P351" s="8">
        <f t="shared" si="42"/>
        <v>6634.6896551724139</v>
      </c>
      <c r="Q351" s="9">
        <f t="shared" si="43"/>
        <v>131.96906541376049</v>
      </c>
      <c r="R351" s="8">
        <v>890000</v>
      </c>
      <c r="S351" s="4">
        <f t="shared" si="30"/>
        <v>-14426.206896551768</v>
      </c>
      <c r="T351" s="21">
        <f t="shared" si="44"/>
        <v>-23846.520000000077</v>
      </c>
      <c r="U351" s="16">
        <f t="shared" si="38"/>
        <v>-70766.412000000011</v>
      </c>
    </row>
    <row r="352" spans="1:21" x14ac:dyDescent="0.25">
      <c r="A352" s="3">
        <v>43891</v>
      </c>
      <c r="B352" s="2">
        <v>31</v>
      </c>
      <c r="C352" s="8">
        <v>25349080</v>
      </c>
      <c r="D352" s="8">
        <f t="shared" si="39"/>
        <v>817712.25806451612</v>
      </c>
      <c r="E352" s="9">
        <v>24.33</v>
      </c>
      <c r="F352" s="2">
        <v>910</v>
      </c>
      <c r="G352" s="8">
        <v>1430968</v>
      </c>
      <c r="H352" s="12">
        <f t="shared" si="40"/>
        <v>1.0598277991172547</v>
      </c>
      <c r="I352" s="8">
        <v>21709885</v>
      </c>
      <c r="J352" s="8">
        <f t="shared" si="41"/>
        <v>700318.87096774194</v>
      </c>
      <c r="K352" s="13">
        <f t="shared" si="28"/>
        <v>0.85643680165118419</v>
      </c>
      <c r="L352" s="2">
        <v>651</v>
      </c>
      <c r="M352" s="13">
        <f t="shared" si="29"/>
        <v>0.7153846153846154</v>
      </c>
      <c r="N352" s="27"/>
      <c r="O352" s="14">
        <v>194102</v>
      </c>
      <c r="P352" s="8">
        <f t="shared" si="42"/>
        <v>6261.3548387096771</v>
      </c>
      <c r="Q352" s="9">
        <f t="shared" si="43"/>
        <v>130.59669658220935</v>
      </c>
      <c r="R352" s="8">
        <v>890000</v>
      </c>
      <c r="S352" s="4">
        <f t="shared" si="30"/>
        <v>-72287.741935483878</v>
      </c>
      <c r="T352" s="21">
        <f t="shared" si="44"/>
        <v>-127732.44000000002</v>
      </c>
      <c r="U352" s="16">
        <f t="shared" si="38"/>
        <v>-198498.85200000001</v>
      </c>
    </row>
    <row r="353" spans="1:21" x14ac:dyDescent="0.25">
      <c r="A353" s="3">
        <v>43922</v>
      </c>
      <c r="B353" s="2">
        <v>30</v>
      </c>
      <c r="C353" s="8">
        <v>16884106</v>
      </c>
      <c r="D353" s="8">
        <f t="shared" si="39"/>
        <v>562803.53333333333</v>
      </c>
      <c r="E353" s="9">
        <v>11.93</v>
      </c>
      <c r="F353" s="2">
        <v>909</v>
      </c>
      <c r="G353" s="8">
        <v>1133166</v>
      </c>
      <c r="H353" s="12">
        <f t="shared" si="40"/>
        <v>1.0719427538927835</v>
      </c>
      <c r="I353" s="8">
        <v>14505446</v>
      </c>
      <c r="J353" s="8">
        <f t="shared" si="41"/>
        <v>483514.86666666664</v>
      </c>
      <c r="K353" s="13">
        <f t="shared" si="28"/>
        <v>0.85911839217308872</v>
      </c>
      <c r="L353" s="2">
        <v>652</v>
      </c>
      <c r="M353" s="13">
        <f t="shared" si="29"/>
        <v>0.71727172717271725</v>
      </c>
      <c r="N353" s="27"/>
      <c r="O353" s="14">
        <v>153319</v>
      </c>
      <c r="P353" s="8">
        <f t="shared" si="42"/>
        <v>5110.6333333333332</v>
      </c>
      <c r="Q353" s="9">
        <f t="shared" si="43"/>
        <v>110.12402898531819</v>
      </c>
      <c r="R353" s="8">
        <v>890000</v>
      </c>
      <c r="S353" s="4">
        <f t="shared" si="30"/>
        <v>-327196.46666666667</v>
      </c>
      <c r="T353" s="21">
        <f t="shared" si="44"/>
        <v>-559505.95799999998</v>
      </c>
      <c r="U353" s="16">
        <f t="shared" si="38"/>
        <v>-758004.81</v>
      </c>
    </row>
    <row r="354" spans="1:21" x14ac:dyDescent="0.25">
      <c r="A354" s="3">
        <v>43952</v>
      </c>
      <c r="B354" s="2">
        <v>31</v>
      </c>
      <c r="C354" s="8">
        <v>16528822</v>
      </c>
      <c r="D354" s="8">
        <f t="shared" si="39"/>
        <v>533187.80645161285</v>
      </c>
      <c r="E354" s="9">
        <v>22.42</v>
      </c>
      <c r="F354" s="2">
        <v>959</v>
      </c>
      <c r="G354" s="8">
        <v>1627536</v>
      </c>
      <c r="H354" s="12">
        <f t="shared" si="40"/>
        <v>1.1092211772863094</v>
      </c>
      <c r="I354" s="8">
        <v>13822893</v>
      </c>
      <c r="J354" s="8">
        <f t="shared" si="41"/>
        <v>445899.77419354836</v>
      </c>
      <c r="K354" s="13">
        <f t="shared" si="28"/>
        <v>0.83629026920369764</v>
      </c>
      <c r="L354" s="2">
        <v>684</v>
      </c>
      <c r="M354" s="13">
        <f t="shared" si="29"/>
        <v>0.71324296141814392</v>
      </c>
      <c r="N354" s="27"/>
      <c r="O354" s="14">
        <v>148852</v>
      </c>
      <c r="P354" s="8">
        <f t="shared" si="42"/>
        <v>4801.677419354839</v>
      </c>
      <c r="Q354" s="9">
        <f t="shared" si="43"/>
        <v>111.041988014941</v>
      </c>
      <c r="R354" s="8">
        <v>890000</v>
      </c>
      <c r="S354" s="4">
        <f t="shared" si="30"/>
        <v>-356812.19354838715</v>
      </c>
      <c r="T354" s="21">
        <f t="shared" si="44"/>
        <v>-630487.14600000018</v>
      </c>
      <c r="U354" s="16">
        <f t="shared" si="38"/>
        <v>-1388491.9560000002</v>
      </c>
    </row>
    <row r="355" spans="1:21" x14ac:dyDescent="0.25">
      <c r="A355" s="3">
        <v>43983</v>
      </c>
      <c r="B355" s="2">
        <v>30</v>
      </c>
      <c r="C355" s="8">
        <v>20178517</v>
      </c>
      <c r="D355" s="8">
        <f t="shared" si="39"/>
        <v>672617.23333333328</v>
      </c>
      <c r="E355" s="9">
        <v>32.1</v>
      </c>
      <c r="F355" s="2">
        <v>969</v>
      </c>
      <c r="G355" s="8">
        <v>1501380</v>
      </c>
      <c r="H355" s="12">
        <f t="shared" si="40"/>
        <v>1.08038598206995</v>
      </c>
      <c r="I355" s="8">
        <v>18161997</v>
      </c>
      <c r="J355" s="8">
        <f t="shared" si="41"/>
        <v>605399.9</v>
      </c>
      <c r="K355" s="13">
        <f t="shared" si="28"/>
        <v>0.90006599593022618</v>
      </c>
      <c r="L355" s="2">
        <v>755</v>
      </c>
      <c r="M355" s="13">
        <f t="shared" si="29"/>
        <v>0.77915376676986581</v>
      </c>
      <c r="N355" s="27"/>
      <c r="O355" s="14">
        <v>159058</v>
      </c>
      <c r="P355" s="8">
        <f t="shared" si="42"/>
        <v>5301.9333333333334</v>
      </c>
      <c r="Q355" s="9">
        <f t="shared" si="43"/>
        <v>126.86263501364282</v>
      </c>
      <c r="R355" s="8">
        <v>890000</v>
      </c>
      <c r="S355" s="4">
        <f t="shared" si="30"/>
        <v>-217382.76666666672</v>
      </c>
      <c r="T355" s="21">
        <f t="shared" si="44"/>
        <v>-371724.53100000008</v>
      </c>
      <c r="U355" s="16">
        <f t="shared" si="38"/>
        <v>-1760216.4870000002</v>
      </c>
    </row>
    <row r="356" spans="1:21" x14ac:dyDescent="0.25">
      <c r="A356" s="3">
        <v>44013</v>
      </c>
      <c r="B356" s="2">
        <v>31</v>
      </c>
      <c r="C356" s="8">
        <v>21384388</v>
      </c>
      <c r="D356" s="8">
        <f t="shared" si="39"/>
        <v>689818.96774193551</v>
      </c>
      <c r="E356" s="9">
        <v>34.5</v>
      </c>
      <c r="F356" s="2">
        <v>970</v>
      </c>
      <c r="G356" s="8">
        <v>1459539</v>
      </c>
      <c r="H356" s="12">
        <f t="shared" si="40"/>
        <v>1.0732521987995995</v>
      </c>
      <c r="I356" s="8">
        <v>19333270</v>
      </c>
      <c r="J356" s="8">
        <f t="shared" si="41"/>
        <v>623653.87096774194</v>
      </c>
      <c r="K356" s="13">
        <f t="shared" si="28"/>
        <v>0.90408339018165962</v>
      </c>
      <c r="L356" s="2">
        <v>753</v>
      </c>
      <c r="M356" s="13">
        <f t="shared" si="29"/>
        <v>0.77628865979381445</v>
      </c>
      <c r="N356" s="27"/>
      <c r="O356" s="14">
        <v>163251</v>
      </c>
      <c r="P356" s="8">
        <f t="shared" si="42"/>
        <v>5266.1612903225805</v>
      </c>
      <c r="Q356" s="9">
        <f t="shared" si="43"/>
        <v>130.99085457363202</v>
      </c>
      <c r="R356" s="8">
        <v>890000</v>
      </c>
      <c r="S356" s="4">
        <f t="shared" si="30"/>
        <v>-200181.03225806449</v>
      </c>
      <c r="T356" s="21">
        <f t="shared" si="44"/>
        <v>-353719.88399999996</v>
      </c>
      <c r="U356" s="16">
        <f t="shared" si="38"/>
        <v>-2113936.3710000003</v>
      </c>
    </row>
    <row r="357" spans="1:21" x14ac:dyDescent="0.25">
      <c r="A357" s="3">
        <v>44044</v>
      </c>
      <c r="B357" s="2">
        <v>31</v>
      </c>
      <c r="C357" s="8">
        <v>21739926</v>
      </c>
      <c r="D357" s="8">
        <f t="shared" si="39"/>
        <v>701287.93548387091</v>
      </c>
      <c r="E357" s="9">
        <v>35.93</v>
      </c>
      <c r="F357" s="2">
        <v>968</v>
      </c>
      <c r="G357" s="8">
        <v>937087</v>
      </c>
      <c r="H357" s="12">
        <f t="shared" si="40"/>
        <v>1.0450461112543341</v>
      </c>
      <c r="I357" s="8">
        <v>20249581</v>
      </c>
      <c r="J357" s="8">
        <f t="shared" si="41"/>
        <v>653212.29032258061</v>
      </c>
      <c r="K357" s="13">
        <f t="shared" si="28"/>
        <v>0.93144663877880729</v>
      </c>
      <c r="L357" s="2">
        <v>756</v>
      </c>
      <c r="M357" s="13">
        <f t="shared" si="29"/>
        <v>0.78099173553719003</v>
      </c>
      <c r="N357" s="27"/>
      <c r="O357" s="14">
        <v>166216</v>
      </c>
      <c r="P357" s="8">
        <f t="shared" si="42"/>
        <v>5361.8064516129034</v>
      </c>
      <c r="Q357" s="9">
        <f t="shared" si="43"/>
        <v>130.7932208692304</v>
      </c>
      <c r="R357" s="8">
        <v>890000</v>
      </c>
      <c r="S357" s="4">
        <f t="shared" ref="S357:S428" si="45">D357-R357</f>
        <v>-188712.06451612909</v>
      </c>
      <c r="T357" s="21">
        <f t="shared" si="44"/>
        <v>-333454.21800000011</v>
      </c>
      <c r="U357" s="16">
        <f t="shared" si="38"/>
        <v>-2447390.5890000006</v>
      </c>
    </row>
    <row r="358" spans="1:21" x14ac:dyDescent="0.25">
      <c r="A358" s="3">
        <v>44075</v>
      </c>
      <c r="B358" s="2">
        <v>30</v>
      </c>
      <c r="C358" s="8">
        <v>20969163</v>
      </c>
      <c r="D358" s="8">
        <f t="shared" si="39"/>
        <v>698972.1</v>
      </c>
      <c r="E358" s="9">
        <v>33.35</v>
      </c>
      <c r="F358" s="2">
        <v>971</v>
      </c>
      <c r="G358" s="8">
        <v>1360787</v>
      </c>
      <c r="H358" s="12">
        <f t="shared" si="40"/>
        <v>1.0693982510331299</v>
      </c>
      <c r="I358" s="8">
        <v>18987623</v>
      </c>
      <c r="J358" s="8">
        <f t="shared" si="41"/>
        <v>632920.76666666672</v>
      </c>
      <c r="K358" s="13">
        <f t="shared" si="28"/>
        <v>0.90550218909548275</v>
      </c>
      <c r="L358" s="2">
        <v>755</v>
      </c>
      <c r="M358" s="13">
        <f t="shared" si="29"/>
        <v>0.77754891864057674</v>
      </c>
      <c r="N358" s="27"/>
      <c r="O358" s="14">
        <v>157605</v>
      </c>
      <c r="P358" s="8">
        <f t="shared" si="42"/>
        <v>5253.5</v>
      </c>
      <c r="Q358" s="9">
        <f t="shared" si="43"/>
        <v>133.04884362805748</v>
      </c>
      <c r="R358" s="8">
        <v>890000</v>
      </c>
      <c r="S358" s="4">
        <f t="shared" si="45"/>
        <v>-191027.90000000002</v>
      </c>
      <c r="T358" s="21">
        <f t="shared" si="44"/>
        <v>-326657.70900000003</v>
      </c>
      <c r="U358" s="16">
        <f t="shared" si="38"/>
        <v>-2774048.2980000004</v>
      </c>
    </row>
    <row r="359" spans="1:21" x14ac:dyDescent="0.25">
      <c r="A359" s="3">
        <v>44105</v>
      </c>
      <c r="B359" s="2">
        <v>31</v>
      </c>
      <c r="C359" s="8">
        <v>21672760</v>
      </c>
      <c r="D359" s="8">
        <f t="shared" si="39"/>
        <v>699121.29032258061</v>
      </c>
      <c r="E359" s="9">
        <v>33.19</v>
      </c>
      <c r="F359" s="2">
        <v>970</v>
      </c>
      <c r="G359" s="8">
        <v>1027125</v>
      </c>
      <c r="H359" s="12">
        <f t="shared" si="40"/>
        <v>1.0497502256530253</v>
      </c>
      <c r="I359" s="8">
        <v>20169846</v>
      </c>
      <c r="J359" s="8">
        <f t="shared" si="41"/>
        <v>650640.19354838715</v>
      </c>
      <c r="K359" s="13">
        <f t="shared" si="28"/>
        <v>0.93065424062279101</v>
      </c>
      <c r="L359" s="2">
        <v>767</v>
      </c>
      <c r="M359" s="13">
        <f t="shared" si="29"/>
        <v>0.79072164948453605</v>
      </c>
      <c r="N359" s="27"/>
      <c r="O359" s="14">
        <v>168853</v>
      </c>
      <c r="P359" s="8">
        <f t="shared" si="42"/>
        <v>5446.8709677419356</v>
      </c>
      <c r="Q359" s="9">
        <f t="shared" si="43"/>
        <v>128.35282760744553</v>
      </c>
      <c r="R359" s="8">
        <v>890000</v>
      </c>
      <c r="S359" s="4">
        <f t="shared" si="45"/>
        <v>-190878.70967741939</v>
      </c>
      <c r="T359" s="21">
        <f t="shared" si="44"/>
        <v>-337282.68000000011</v>
      </c>
      <c r="U359" s="16">
        <f t="shared" si="38"/>
        <v>-3111330.9780000006</v>
      </c>
    </row>
    <row r="360" spans="1:21" x14ac:dyDescent="0.25">
      <c r="A360" s="3">
        <v>44136</v>
      </c>
      <c r="B360" s="2">
        <v>30</v>
      </c>
      <c r="C360" s="8">
        <v>20883213</v>
      </c>
      <c r="D360" s="8">
        <f t="shared" si="39"/>
        <v>696107.1</v>
      </c>
      <c r="E360" s="9">
        <v>35</v>
      </c>
      <c r="F360" s="2">
        <v>970</v>
      </c>
      <c r="G360" s="8">
        <v>818263</v>
      </c>
      <c r="H360" s="12">
        <f t="shared" si="40"/>
        <v>1.0407807146292416</v>
      </c>
      <c r="I360" s="8">
        <v>19602290</v>
      </c>
      <c r="J360" s="8">
        <f t="shared" si="41"/>
        <v>653409.66666666663</v>
      </c>
      <c r="K360" s="13">
        <f t="shared" si="28"/>
        <v>0.93866255159107936</v>
      </c>
      <c r="L360" s="2">
        <v>767</v>
      </c>
      <c r="M360" s="13">
        <f t="shared" si="29"/>
        <v>0.79072164948453605</v>
      </c>
      <c r="N360" s="27"/>
      <c r="O360" s="14">
        <v>162452</v>
      </c>
      <c r="P360" s="8">
        <f t="shared" si="42"/>
        <v>5415.0666666666666</v>
      </c>
      <c r="Q360" s="9">
        <f t="shared" si="43"/>
        <v>128.5500517075813</v>
      </c>
      <c r="R360" s="8">
        <v>890000</v>
      </c>
      <c r="S360" s="4">
        <f t="shared" si="45"/>
        <v>-193892.90000000002</v>
      </c>
      <c r="T360" s="21">
        <f t="shared" si="44"/>
        <v>-331556.85900000005</v>
      </c>
      <c r="U360" s="16">
        <f t="shared" si="38"/>
        <v>-3442887.8370000008</v>
      </c>
    </row>
    <row r="361" spans="1:21" x14ac:dyDescent="0.25">
      <c r="A361" s="3">
        <v>44166</v>
      </c>
      <c r="B361" s="2">
        <v>31</v>
      </c>
      <c r="C361" s="8">
        <v>21636834</v>
      </c>
      <c r="D361" s="8">
        <f t="shared" si="39"/>
        <v>697962.38709677418</v>
      </c>
      <c r="E361" s="9">
        <v>40.959699999999998</v>
      </c>
      <c r="F361" s="2">
        <v>972</v>
      </c>
      <c r="G361" s="8">
        <v>1126800</v>
      </c>
      <c r="H361" s="12">
        <f t="shared" si="40"/>
        <v>1.0549389630460877</v>
      </c>
      <c r="I361" s="8">
        <v>20045473</v>
      </c>
      <c r="J361" s="8">
        <f t="shared" si="41"/>
        <v>646628.16129032255</v>
      </c>
      <c r="K361" s="13">
        <f t="shared" si="28"/>
        <v>0.92645130059231406</v>
      </c>
      <c r="L361" s="2">
        <v>768</v>
      </c>
      <c r="M361" s="13">
        <f t="shared" si="29"/>
        <v>0.79012345679012341</v>
      </c>
      <c r="N361" s="27"/>
      <c r="O361" s="14">
        <v>168416</v>
      </c>
      <c r="P361" s="8">
        <f t="shared" si="42"/>
        <v>5432.7741935483873</v>
      </c>
      <c r="Q361" s="9">
        <f t="shared" si="43"/>
        <v>128.47255605168155</v>
      </c>
      <c r="R361" s="8">
        <v>890000</v>
      </c>
      <c r="S361" s="4">
        <f t="shared" si="45"/>
        <v>-192037.61290322582</v>
      </c>
      <c r="T361" s="21">
        <f t="shared" si="44"/>
        <v>-339330.462</v>
      </c>
      <c r="U361" s="16">
        <f t="shared" si="38"/>
        <v>-3782218.2990000006</v>
      </c>
    </row>
    <row r="362" spans="1:21" x14ac:dyDescent="0.25">
      <c r="A362" s="3">
        <v>44197</v>
      </c>
      <c r="B362" s="2">
        <v>31</v>
      </c>
      <c r="C362" s="8">
        <v>20649009</v>
      </c>
      <c r="D362" s="8">
        <f t="shared" si="39"/>
        <v>666097.06451612909</v>
      </c>
      <c r="E362" s="9">
        <v>45.53</v>
      </c>
      <c r="F362" s="2">
        <v>966</v>
      </c>
      <c r="G362" s="8">
        <v>1031836</v>
      </c>
      <c r="H362" s="12">
        <f t="shared" si="40"/>
        <v>1.0525986083723684</v>
      </c>
      <c r="I362" s="8">
        <v>19110530</v>
      </c>
      <c r="J362" s="8">
        <f t="shared" si="41"/>
        <v>616468.70967741939</v>
      </c>
      <c r="K362" s="13">
        <f t="shared" si="28"/>
        <v>0.92549380941235482</v>
      </c>
      <c r="L362" s="2">
        <v>764</v>
      </c>
      <c r="M362" s="13">
        <f t="shared" si="29"/>
        <v>0.79089026915113869</v>
      </c>
      <c r="N362" s="27"/>
      <c r="O362" s="14">
        <v>155111</v>
      </c>
      <c r="P362" s="8">
        <f t="shared" si="42"/>
        <v>5003.5806451612907</v>
      </c>
      <c r="Q362" s="9">
        <f t="shared" si="43"/>
        <v>133.12407888544334</v>
      </c>
      <c r="R362" s="8">
        <v>700000</v>
      </c>
      <c r="S362" s="4">
        <f t="shared" si="45"/>
        <v>-33902.935483870911</v>
      </c>
      <c r="T362" s="21">
        <f t="shared" si="44"/>
        <v>-59906.486999999906</v>
      </c>
      <c r="U362" s="16">
        <f>T362</f>
        <v>-59906.486999999906</v>
      </c>
    </row>
    <row r="363" spans="1:21" x14ac:dyDescent="0.25">
      <c r="A363" s="3">
        <v>44228</v>
      </c>
      <c r="B363" s="2">
        <v>28</v>
      </c>
      <c r="C363" s="8">
        <v>17129464</v>
      </c>
      <c r="D363" s="8">
        <f t="shared" si="39"/>
        <v>611766.57142857148</v>
      </c>
      <c r="E363" s="9">
        <v>52.857100000000003</v>
      </c>
      <c r="F363" s="2">
        <v>969</v>
      </c>
      <c r="G363" s="8">
        <v>688614</v>
      </c>
      <c r="H363" s="12">
        <f t="shared" si="40"/>
        <v>1.0418843307979819</v>
      </c>
      <c r="I363" s="8">
        <v>15890830</v>
      </c>
      <c r="J363" s="8">
        <f t="shared" si="41"/>
        <v>567529.64285714284</v>
      </c>
      <c r="K363" s="13">
        <f t="shared" si="28"/>
        <v>0.92768985649521785</v>
      </c>
      <c r="L363" s="2">
        <v>765</v>
      </c>
      <c r="M363" s="13">
        <f t="shared" si="29"/>
        <v>0.78947368421052633</v>
      </c>
      <c r="N363" s="27"/>
      <c r="O363" s="14">
        <v>132119</v>
      </c>
      <c r="P363" s="8">
        <f t="shared" si="42"/>
        <v>4718.5357142857147</v>
      </c>
      <c r="Q363" s="9">
        <f t="shared" si="43"/>
        <v>129.65178361931288</v>
      </c>
      <c r="R363" s="8">
        <v>700000</v>
      </c>
      <c r="S363" s="4">
        <f t="shared" si="45"/>
        <v>-88233.428571428522</v>
      </c>
      <c r="T363" s="21">
        <f t="shared" si="44"/>
        <v>-140820.55199999994</v>
      </c>
      <c r="U363" s="16">
        <f t="shared" ref="U363:U373" si="46">T363+U362</f>
        <v>-200727.03899999984</v>
      </c>
    </row>
    <row r="364" spans="1:21" x14ac:dyDescent="0.25">
      <c r="A364" s="3">
        <v>44256</v>
      </c>
      <c r="B364" s="2">
        <v>31</v>
      </c>
      <c r="C364" s="8">
        <v>20907538</v>
      </c>
      <c r="D364" s="8">
        <f t="shared" si="39"/>
        <v>674436.70967741939</v>
      </c>
      <c r="E364" s="9">
        <v>56.378999999999998</v>
      </c>
      <c r="F364" s="2">
        <v>968</v>
      </c>
      <c r="G364" s="8">
        <v>1152989</v>
      </c>
      <c r="H364" s="12">
        <f t="shared" si="40"/>
        <v>1.058365746542733</v>
      </c>
      <c r="I364" s="8">
        <v>19291201</v>
      </c>
      <c r="J364" s="8">
        <f t="shared" si="41"/>
        <v>622296.80645161285</v>
      </c>
      <c r="K364" s="13">
        <f t="shared" si="28"/>
        <v>0.92269118439483411</v>
      </c>
      <c r="L364" s="2">
        <v>768</v>
      </c>
      <c r="M364" s="13">
        <f t="shared" si="29"/>
        <v>0.79338842975206614</v>
      </c>
      <c r="N364" s="27"/>
      <c r="O364" s="14">
        <v>164927</v>
      </c>
      <c r="P364" s="8">
        <f t="shared" si="42"/>
        <v>5320.2258064516127</v>
      </c>
      <c r="Q364" s="9">
        <f t="shared" si="43"/>
        <v>126.76843694483014</v>
      </c>
      <c r="R364" s="8">
        <v>700000</v>
      </c>
      <c r="S364" s="4">
        <f t="shared" si="45"/>
        <v>-25563.290322580608</v>
      </c>
      <c r="T364" s="21">
        <f t="shared" si="44"/>
        <v>-45170.333999999937</v>
      </c>
      <c r="U364" s="16">
        <f t="shared" si="46"/>
        <v>-245897.37299999979</v>
      </c>
    </row>
    <row r="365" spans="1:21" x14ac:dyDescent="0.25">
      <c r="A365" s="3">
        <v>44287</v>
      </c>
      <c r="B365" s="2">
        <v>30</v>
      </c>
      <c r="C365" s="8">
        <v>20505507</v>
      </c>
      <c r="D365" s="8">
        <f t="shared" si="39"/>
        <v>683516.9</v>
      </c>
      <c r="E365" s="9">
        <v>55.357999999999997</v>
      </c>
      <c r="F365" s="2">
        <v>968</v>
      </c>
      <c r="G365" s="8">
        <v>1255560</v>
      </c>
      <c r="H365" s="12">
        <f t="shared" si="40"/>
        <v>1.0652240756818707</v>
      </c>
      <c r="I365" s="8">
        <v>18707454</v>
      </c>
      <c r="J365" s="8">
        <f t="shared" si="41"/>
        <v>623581.80000000005</v>
      </c>
      <c r="K365" s="13">
        <f t="shared" si="28"/>
        <v>0.91231365310791879</v>
      </c>
      <c r="L365" s="2">
        <v>769</v>
      </c>
      <c r="M365" s="13">
        <f t="shared" si="29"/>
        <v>0.79442148760330578</v>
      </c>
      <c r="N365" s="27"/>
      <c r="O365" s="14">
        <v>163002</v>
      </c>
      <c r="P365" s="8">
        <f t="shared" si="42"/>
        <v>5433.4</v>
      </c>
      <c r="Q365" s="9">
        <f t="shared" si="43"/>
        <v>125.79911289432033</v>
      </c>
      <c r="R365" s="8">
        <v>700000</v>
      </c>
      <c r="S365" s="4">
        <f t="shared" si="45"/>
        <v>-16483.099999999977</v>
      </c>
      <c r="T365" s="21">
        <f t="shared" si="44"/>
        <v>-28186.100999999962</v>
      </c>
      <c r="U365" s="16">
        <f t="shared" si="46"/>
        <v>-274083.47399999975</v>
      </c>
    </row>
    <row r="366" spans="1:21" x14ac:dyDescent="0.25">
      <c r="A366" s="3">
        <v>44317</v>
      </c>
      <c r="B366" s="2">
        <v>31</v>
      </c>
      <c r="C366" s="8">
        <v>21324192</v>
      </c>
      <c r="D366" s="8">
        <f t="shared" si="39"/>
        <v>687877.16129032255</v>
      </c>
      <c r="E366" s="9">
        <v>58.8065</v>
      </c>
      <c r="F366" s="2">
        <v>968</v>
      </c>
      <c r="G366" s="8">
        <v>1581975</v>
      </c>
      <c r="H366" s="12">
        <f t="shared" si="40"/>
        <v>1.0801315779276461</v>
      </c>
      <c r="I366" s="8">
        <v>19274646</v>
      </c>
      <c r="J366" s="8">
        <f t="shared" si="41"/>
        <v>621762.77419354836</v>
      </c>
      <c r="K366" s="13">
        <f t="shared" si="28"/>
        <v>0.90388634654949651</v>
      </c>
      <c r="L366" s="2">
        <v>768</v>
      </c>
      <c r="M366" s="13">
        <f t="shared" si="29"/>
        <v>0.79338842975206614</v>
      </c>
      <c r="N366" s="27"/>
      <c r="O366" s="14">
        <v>161559</v>
      </c>
      <c r="P366" s="8">
        <f t="shared" si="42"/>
        <v>5211.5806451612907</v>
      </c>
      <c r="Q366" s="9">
        <f t="shared" si="43"/>
        <v>131.99012125601172</v>
      </c>
      <c r="R366" s="8">
        <v>700000</v>
      </c>
      <c r="S366" s="4">
        <f t="shared" si="45"/>
        <v>-12122.838709677453</v>
      </c>
      <c r="T366" s="21">
        <f t="shared" si="44"/>
        <v>-21421.056000000059</v>
      </c>
      <c r="U366" s="16">
        <f t="shared" si="46"/>
        <v>-295504.5299999998</v>
      </c>
    </row>
    <row r="367" spans="1:21" x14ac:dyDescent="0.25">
      <c r="A367" s="3">
        <v>44348</v>
      </c>
      <c r="B367" s="2">
        <v>30</v>
      </c>
      <c r="C367" s="8">
        <v>20634399</v>
      </c>
      <c r="D367" s="8">
        <f t="shared" si="39"/>
        <v>687813.3</v>
      </c>
      <c r="E367" s="9">
        <v>65.125</v>
      </c>
      <c r="F367" s="2">
        <v>969</v>
      </c>
      <c r="G367" s="8">
        <v>1021469</v>
      </c>
      <c r="H367" s="12">
        <f t="shared" si="40"/>
        <v>1.052081407520447</v>
      </c>
      <c r="I367" s="8">
        <v>19189289</v>
      </c>
      <c r="J367" s="8">
        <f t="shared" si="41"/>
        <v>639642.96666666667</v>
      </c>
      <c r="K367" s="13">
        <f t="shared" si="28"/>
        <v>0.92996597574758533</v>
      </c>
      <c r="L367" s="2">
        <v>768</v>
      </c>
      <c r="M367" s="13">
        <f t="shared" si="29"/>
        <v>0.79256965944272451</v>
      </c>
      <c r="N367" s="27"/>
      <c r="O367" s="14">
        <v>159341</v>
      </c>
      <c r="P367" s="8">
        <f t="shared" si="42"/>
        <v>5311.3666666666668</v>
      </c>
      <c r="Q367" s="9">
        <f t="shared" si="43"/>
        <v>129.49836514142626</v>
      </c>
      <c r="R367" s="8">
        <v>700000</v>
      </c>
      <c r="S367" s="4">
        <f t="shared" si="45"/>
        <v>-12186.699999999953</v>
      </c>
      <c r="T367" s="21">
        <f t="shared" si="44"/>
        <v>-20839.256999999921</v>
      </c>
      <c r="U367" s="16">
        <f t="shared" si="46"/>
        <v>-316343.78699999972</v>
      </c>
    </row>
    <row r="368" spans="1:21" x14ac:dyDescent="0.25">
      <c r="A368" s="3">
        <v>44378</v>
      </c>
      <c r="B368" s="2">
        <v>31</v>
      </c>
      <c r="C368" s="8">
        <v>21748875</v>
      </c>
      <c r="D368" s="8">
        <f t="shared" si="39"/>
        <v>701576.61290322582</v>
      </c>
      <c r="E368" s="9">
        <v>66.5565</v>
      </c>
      <c r="F368" s="2">
        <v>955</v>
      </c>
      <c r="G368" s="8">
        <v>1795182</v>
      </c>
      <c r="H368" s="12">
        <f t="shared" si="40"/>
        <v>1.0899674060335598</v>
      </c>
      <c r="I368" s="8">
        <v>19487450</v>
      </c>
      <c r="J368" s="8">
        <f t="shared" si="41"/>
        <v>628627.41935483867</v>
      </c>
      <c r="K368" s="13">
        <f t="shared" si="28"/>
        <v>0.89602105856050029</v>
      </c>
      <c r="L368" s="2">
        <v>763</v>
      </c>
      <c r="M368" s="13">
        <f t="shared" si="29"/>
        <v>0.7989528795811518</v>
      </c>
      <c r="N368" s="27"/>
      <c r="O368" s="14">
        <v>165463</v>
      </c>
      <c r="P368" s="8">
        <f t="shared" si="42"/>
        <v>5337.5161290322585</v>
      </c>
      <c r="Q368" s="9">
        <f t="shared" si="43"/>
        <v>131.44252793675926</v>
      </c>
      <c r="R368" s="8">
        <v>700000</v>
      </c>
      <c r="S368" s="4">
        <f t="shared" si="45"/>
        <v>1576.6129032258177</v>
      </c>
      <c r="T368" s="21">
        <f t="shared" si="44"/>
        <v>2785.87500000002</v>
      </c>
      <c r="U368" s="16">
        <f t="shared" si="46"/>
        <v>-313557.91199999972</v>
      </c>
    </row>
    <row r="369" spans="1:21" x14ac:dyDescent="0.25">
      <c r="A369" s="3">
        <v>44409</v>
      </c>
      <c r="B369" s="2">
        <v>31</v>
      </c>
      <c r="C369" s="8">
        <v>21834495</v>
      </c>
      <c r="D369" s="8">
        <f t="shared" si="39"/>
        <v>704338.54838709673</v>
      </c>
      <c r="E369" s="9">
        <v>61.459699999999998</v>
      </c>
      <c r="F369" s="2">
        <v>951</v>
      </c>
      <c r="G369" s="8">
        <v>688999</v>
      </c>
      <c r="H369" s="12">
        <f t="shared" si="40"/>
        <v>1.0325837237395614</v>
      </c>
      <c r="I369" s="8">
        <v>20662106</v>
      </c>
      <c r="J369" s="8">
        <f t="shared" si="41"/>
        <v>666519.54838709673</v>
      </c>
      <c r="K369" s="13">
        <f t="shared" si="28"/>
        <v>0.94630565076041373</v>
      </c>
      <c r="L369" s="2">
        <v>759</v>
      </c>
      <c r="M369" s="13">
        <f t="shared" si="29"/>
        <v>0.79810725552050477</v>
      </c>
      <c r="N369" s="27"/>
      <c r="O369" s="14">
        <v>165834</v>
      </c>
      <c r="P369" s="8">
        <f t="shared" si="42"/>
        <v>5349.4838709677415</v>
      </c>
      <c r="Q369" s="9">
        <f t="shared" si="43"/>
        <v>131.66476717681536</v>
      </c>
      <c r="R369" s="8">
        <v>700000</v>
      </c>
      <c r="S369" s="4">
        <f t="shared" si="45"/>
        <v>4338.5483870967291</v>
      </c>
      <c r="T369" s="21">
        <f t="shared" si="44"/>
        <v>7666.2149999999201</v>
      </c>
      <c r="U369" s="16">
        <f t="shared" si="46"/>
        <v>-305891.69699999981</v>
      </c>
    </row>
    <row r="370" spans="1:21" x14ac:dyDescent="0.25">
      <c r="A370" s="3">
        <v>44440</v>
      </c>
      <c r="B370" s="2">
        <v>30</v>
      </c>
      <c r="C370" s="8">
        <v>21293267</v>
      </c>
      <c r="D370" s="8">
        <f t="shared" si="39"/>
        <v>709775.56666666665</v>
      </c>
      <c r="E370" s="9">
        <v>65.125</v>
      </c>
      <c r="F370" s="2">
        <v>945</v>
      </c>
      <c r="G370" s="8">
        <v>955377</v>
      </c>
      <c r="H370" s="12">
        <f t="shared" si="40"/>
        <v>1.0469752270269925</v>
      </c>
      <c r="I370" s="8">
        <v>19813742</v>
      </c>
      <c r="J370" s="8">
        <f t="shared" si="41"/>
        <v>660458.06666666665</v>
      </c>
      <c r="K370" s="13">
        <f t="shared" si="28"/>
        <v>0.93051676851654563</v>
      </c>
      <c r="L370" s="2">
        <v>755</v>
      </c>
      <c r="M370" s="13">
        <f t="shared" si="29"/>
        <v>0.79894179894179895</v>
      </c>
      <c r="N370" s="27"/>
      <c r="O370" s="14">
        <v>162852</v>
      </c>
      <c r="P370" s="8">
        <f t="shared" si="42"/>
        <v>5428.4</v>
      </c>
      <c r="Q370" s="9">
        <f t="shared" si="43"/>
        <v>130.75225972048241</v>
      </c>
      <c r="R370" s="8">
        <v>700000</v>
      </c>
      <c r="S370" s="4">
        <f t="shared" si="45"/>
        <v>9775.5666666666511</v>
      </c>
      <c r="T370" s="21">
        <f t="shared" si="44"/>
        <v>16716.218999999975</v>
      </c>
      <c r="U370" s="16">
        <f t="shared" si="46"/>
        <v>-289175.47799999983</v>
      </c>
    </row>
    <row r="371" spans="1:21" x14ac:dyDescent="0.25">
      <c r="A371" s="3">
        <v>44470</v>
      </c>
      <c r="B371" s="2">
        <v>31</v>
      </c>
      <c r="C371" s="8">
        <v>22094078</v>
      </c>
      <c r="D371" s="8">
        <f t="shared" si="39"/>
        <v>712712.19354838715</v>
      </c>
      <c r="E371" s="9">
        <v>74.862899999999996</v>
      </c>
      <c r="F371" s="2">
        <v>957</v>
      </c>
      <c r="G371" s="8">
        <v>1363569</v>
      </c>
      <c r="H371" s="12">
        <f t="shared" si="40"/>
        <v>1.0657759536922127</v>
      </c>
      <c r="I371" s="8">
        <v>20158040</v>
      </c>
      <c r="J371" s="8">
        <f t="shared" si="41"/>
        <v>650259.3548387097</v>
      </c>
      <c r="K371" s="13">
        <f t="shared" si="28"/>
        <v>0.91237298972149916</v>
      </c>
      <c r="L371" s="2">
        <v>763</v>
      </c>
      <c r="M371" s="13">
        <f t="shared" si="29"/>
        <v>0.79728317659352144</v>
      </c>
      <c r="N371" s="27"/>
      <c r="O371" s="14">
        <v>166139</v>
      </c>
      <c r="P371" s="8">
        <f t="shared" si="42"/>
        <v>5359.322580645161</v>
      </c>
      <c r="Q371" s="9">
        <f t="shared" si="43"/>
        <v>132.9855000932954</v>
      </c>
      <c r="R371" s="8">
        <v>700000</v>
      </c>
      <c r="S371" s="4">
        <f t="shared" si="45"/>
        <v>12712.193548387149</v>
      </c>
      <c r="T371" s="21">
        <f t="shared" si="44"/>
        <v>22462.446000000095</v>
      </c>
      <c r="U371" s="16">
        <f t="shared" si="46"/>
        <v>-266713.03199999972</v>
      </c>
    </row>
    <row r="372" spans="1:21" x14ac:dyDescent="0.25">
      <c r="A372" s="3">
        <v>44501</v>
      </c>
      <c r="B372" s="2">
        <v>30</v>
      </c>
      <c r="C372" s="8">
        <v>22115918</v>
      </c>
      <c r="D372" s="8">
        <f t="shared" si="39"/>
        <v>737197.26666666672</v>
      </c>
      <c r="E372" s="9">
        <v>71.833299999999994</v>
      </c>
      <c r="F372" s="2">
        <v>950</v>
      </c>
      <c r="G372" s="8">
        <v>1117592</v>
      </c>
      <c r="H372" s="12">
        <f t="shared" si="40"/>
        <v>1.0532229092928647</v>
      </c>
      <c r="I372" s="8">
        <v>20383973</v>
      </c>
      <c r="J372" s="8">
        <f t="shared" si="41"/>
        <v>679465.76666666672</v>
      </c>
      <c r="K372" s="13">
        <f t="shared" si="28"/>
        <v>0.92168785397015851</v>
      </c>
      <c r="L372" s="2">
        <v>756</v>
      </c>
      <c r="M372" s="13">
        <f t="shared" si="29"/>
        <v>0.79578947368421049</v>
      </c>
      <c r="N372" s="27"/>
      <c r="O372" s="14">
        <v>167066</v>
      </c>
      <c r="P372" s="8">
        <f t="shared" si="42"/>
        <v>5568.8666666666668</v>
      </c>
      <c r="Q372" s="9">
        <f t="shared" si="43"/>
        <v>132.37832952246418</v>
      </c>
      <c r="R372" s="8">
        <v>700000</v>
      </c>
      <c r="S372" s="4">
        <f t="shared" si="45"/>
        <v>37197.266666666721</v>
      </c>
      <c r="T372" s="21">
        <f t="shared" si="44"/>
        <v>63607.326000000096</v>
      </c>
      <c r="U372" s="16">
        <f t="shared" si="46"/>
        <v>-203105.70599999963</v>
      </c>
    </row>
    <row r="373" spans="1:21" x14ac:dyDescent="0.25">
      <c r="A373" s="3">
        <v>44531</v>
      </c>
      <c r="B373" s="2">
        <v>31</v>
      </c>
      <c r="C373" s="8">
        <v>23414336</v>
      </c>
      <c r="D373" s="8">
        <f t="shared" si="39"/>
        <v>755301.16129032255</v>
      </c>
      <c r="E373" s="9">
        <v>65.209699999999998</v>
      </c>
      <c r="F373" s="2">
        <v>950</v>
      </c>
      <c r="G373" s="8">
        <v>1559168</v>
      </c>
      <c r="H373" s="12">
        <f t="shared" si="40"/>
        <v>1.0713409295229395</v>
      </c>
      <c r="I373" s="8">
        <v>21241845</v>
      </c>
      <c r="J373" s="8">
        <f t="shared" si="41"/>
        <v>685220.80645161285</v>
      </c>
      <c r="K373" s="13">
        <f t="shared" si="28"/>
        <v>0.90721534875044074</v>
      </c>
      <c r="L373" s="2">
        <v>756</v>
      </c>
      <c r="M373" s="13">
        <f t="shared" si="29"/>
        <v>0.79578947368421049</v>
      </c>
      <c r="N373" s="27"/>
      <c r="O373" s="23">
        <v>176840</v>
      </c>
      <c r="P373" s="8">
        <f t="shared" si="42"/>
        <v>5704.5161290322585</v>
      </c>
      <c r="Q373" s="9">
        <f t="shared" si="43"/>
        <v>132.40407147704138</v>
      </c>
      <c r="R373" s="8">
        <v>700000</v>
      </c>
      <c r="S373" s="4">
        <f t="shared" si="45"/>
        <v>55301.161290322547</v>
      </c>
      <c r="T373" s="21">
        <f t="shared" si="44"/>
        <v>97717.151999999944</v>
      </c>
      <c r="U373" s="16">
        <f t="shared" si="46"/>
        <v>-105388.55399999968</v>
      </c>
    </row>
    <row r="374" spans="1:21" x14ac:dyDescent="0.25">
      <c r="A374" s="3">
        <v>44562</v>
      </c>
      <c r="B374" s="2">
        <v>31</v>
      </c>
      <c r="C374" s="8">
        <v>23163527</v>
      </c>
      <c r="D374" s="8">
        <f t="shared" si="39"/>
        <v>747210.54838709673</v>
      </c>
      <c r="E374" s="9">
        <v>76.674999999999997</v>
      </c>
      <c r="F374" s="2">
        <v>951</v>
      </c>
      <c r="G374" s="8">
        <v>1133858</v>
      </c>
      <c r="H374" s="12">
        <f t="shared" si="40"/>
        <v>1.0514695885807455</v>
      </c>
      <c r="I374" s="8">
        <v>21412180</v>
      </c>
      <c r="J374" s="8">
        <f t="shared" si="41"/>
        <v>690715.48387096776</v>
      </c>
      <c r="K374" s="13">
        <f t="shared" si="28"/>
        <v>0.92439204098754046</v>
      </c>
      <c r="L374" s="2">
        <v>757</v>
      </c>
      <c r="M374" s="13">
        <f t="shared" si="29"/>
        <v>0.79600420609884337</v>
      </c>
      <c r="N374" s="27"/>
      <c r="O374" s="23">
        <v>175386</v>
      </c>
      <c r="P374" s="8">
        <f t="shared" si="42"/>
        <v>5657.6129032258068</v>
      </c>
      <c r="Q374" s="9">
        <f t="shared" si="43"/>
        <v>132.07169899535879</v>
      </c>
      <c r="R374" s="8">
        <v>800000</v>
      </c>
      <c r="S374" s="4">
        <f t="shared" si="45"/>
        <v>-52789.451612903271</v>
      </c>
      <c r="T374" s="21">
        <f t="shared" si="44"/>
        <v>-93278.961000000083</v>
      </c>
      <c r="U374" s="16">
        <f>T374</f>
        <v>-93278.961000000083</v>
      </c>
    </row>
    <row r="375" spans="1:21" x14ac:dyDescent="0.25">
      <c r="A375" s="3">
        <v>44593</v>
      </c>
      <c r="B375" s="2">
        <v>28</v>
      </c>
      <c r="C375" s="8">
        <v>21057431</v>
      </c>
      <c r="D375" s="8">
        <f t="shared" si="39"/>
        <v>752051.10714285716</v>
      </c>
      <c r="E375" s="9">
        <v>85.367999999999995</v>
      </c>
      <c r="F375" s="2">
        <v>950</v>
      </c>
      <c r="G375" s="8">
        <v>1285630</v>
      </c>
      <c r="H375" s="12">
        <f t="shared" si="40"/>
        <v>1.0650234139014447</v>
      </c>
      <c r="I375" s="8">
        <v>19203713</v>
      </c>
      <c r="J375" s="8">
        <f t="shared" si="41"/>
        <v>685846.89285714284</v>
      </c>
      <c r="K375" s="13">
        <f t="shared" si="28"/>
        <v>0.91196846376939333</v>
      </c>
      <c r="L375" s="2">
        <v>756</v>
      </c>
      <c r="M375" s="13">
        <f t="shared" si="29"/>
        <v>0.79578947368421049</v>
      </c>
      <c r="N375" s="27"/>
      <c r="O375" s="23">
        <v>156943</v>
      </c>
      <c r="P375" s="8">
        <f t="shared" si="42"/>
        <v>5605.1071428571431</v>
      </c>
      <c r="Q375" s="9">
        <f t="shared" si="43"/>
        <v>134.17247663164332</v>
      </c>
      <c r="R375" s="8">
        <v>800000</v>
      </c>
      <c r="S375" s="4">
        <f t="shared" si="45"/>
        <v>-47948.892857142841</v>
      </c>
      <c r="T375" s="21">
        <f t="shared" si="44"/>
        <v>-76526.432999999975</v>
      </c>
      <c r="U375" s="16">
        <f>U374+T375</f>
        <v>-169805.39400000006</v>
      </c>
    </row>
    <row r="376" spans="1:21" x14ac:dyDescent="0.25">
      <c r="A376" s="3">
        <v>44621</v>
      </c>
      <c r="B376" s="2">
        <v>31</v>
      </c>
      <c r="C376" s="8">
        <v>23329743</v>
      </c>
      <c r="D376" s="8">
        <f t="shared" si="39"/>
        <v>752572.3548387097</v>
      </c>
      <c r="E376" s="9">
        <v>102.6613</v>
      </c>
      <c r="F376" s="2">
        <v>947</v>
      </c>
      <c r="G376" s="8">
        <v>1819015</v>
      </c>
      <c r="H376" s="12">
        <f t="shared" si="40"/>
        <v>1.0845631537900531</v>
      </c>
      <c r="I376" s="8">
        <v>20903374</v>
      </c>
      <c r="J376" s="8">
        <f t="shared" si="41"/>
        <v>674302.38709677418</v>
      </c>
      <c r="K376" s="13">
        <f t="shared" si="28"/>
        <v>0.89599675401482137</v>
      </c>
      <c r="L376" s="2">
        <v>754</v>
      </c>
      <c r="M376" s="13">
        <f t="shared" si="29"/>
        <v>0.79619852164730731</v>
      </c>
      <c r="N376" s="27"/>
      <c r="O376" s="23">
        <v>175632</v>
      </c>
      <c r="P376" s="8">
        <f t="shared" si="42"/>
        <v>5665.5483870967746</v>
      </c>
      <c r="Q376" s="9">
        <f t="shared" si="43"/>
        <v>132.8330998906805</v>
      </c>
      <c r="R376" s="8">
        <v>800000</v>
      </c>
      <c r="S376" s="4">
        <f t="shared" si="45"/>
        <v>-47427.645161290304</v>
      </c>
      <c r="T376" s="21">
        <f t="shared" si="44"/>
        <v>-83804.648999999976</v>
      </c>
      <c r="U376" s="16">
        <f>U375+T376</f>
        <v>-253610.04300000003</v>
      </c>
    </row>
    <row r="377" spans="1:21" x14ac:dyDescent="0.25">
      <c r="A377" s="3">
        <v>44652</v>
      </c>
      <c r="B377" s="2">
        <v>30</v>
      </c>
      <c r="C377" s="8">
        <v>22124608</v>
      </c>
      <c r="D377" s="8">
        <f t="shared" si="39"/>
        <v>737486.93333333335</v>
      </c>
      <c r="E377" s="9">
        <v>95.36</v>
      </c>
      <c r="F377" s="2">
        <v>949</v>
      </c>
      <c r="G377" s="8">
        <v>1046744</v>
      </c>
      <c r="H377" s="12">
        <f t="shared" si="40"/>
        <v>1.0496608195213708</v>
      </c>
      <c r="I377" s="8">
        <v>20416003</v>
      </c>
      <c r="J377" s="8">
        <f t="shared" si="41"/>
        <v>680533.43333333335</v>
      </c>
      <c r="K377" s="13">
        <f t="shared" si="28"/>
        <v>0.92277354699346537</v>
      </c>
      <c r="L377" s="2">
        <v>756</v>
      </c>
      <c r="M377" s="13">
        <f t="shared" si="29"/>
        <v>0.79662802950474187</v>
      </c>
      <c r="N377" s="27"/>
      <c r="O377" s="23">
        <v>162869</v>
      </c>
      <c r="P377" s="8">
        <f t="shared" si="42"/>
        <v>5428.9666666666662</v>
      </c>
      <c r="Q377" s="9">
        <f t="shared" si="43"/>
        <v>135.8429658191553</v>
      </c>
      <c r="R377" s="8">
        <v>800000</v>
      </c>
      <c r="S377" s="4">
        <f t="shared" si="45"/>
        <v>-62513.066666666651</v>
      </c>
      <c r="T377" s="21">
        <f t="shared" si="44"/>
        <v>-106897.34399999997</v>
      </c>
      <c r="U377" s="16">
        <f t="shared" ref="U377:U385" si="47">U376+T377</f>
        <v>-360507.38699999999</v>
      </c>
    </row>
    <row r="378" spans="1:21" x14ac:dyDescent="0.25">
      <c r="A378" s="3">
        <v>44682</v>
      </c>
      <c r="B378" s="2">
        <v>31</v>
      </c>
      <c r="C378" s="8">
        <v>23091726</v>
      </c>
      <c r="D378" s="8">
        <f t="shared" si="39"/>
        <v>744894.38709677418</v>
      </c>
      <c r="E378" s="9">
        <v>103.76609999999999</v>
      </c>
      <c r="F378" s="2">
        <v>955</v>
      </c>
      <c r="G378" s="8">
        <v>1303550</v>
      </c>
      <c r="H378" s="12">
        <f t="shared" si="40"/>
        <v>1.0598283215630349</v>
      </c>
      <c r="I378" s="8">
        <v>21077124</v>
      </c>
      <c r="J378" s="8">
        <f t="shared" si="41"/>
        <v>679907.22580645164</v>
      </c>
      <c r="K378" s="13">
        <f t="shared" si="28"/>
        <v>0.91275654318780675</v>
      </c>
      <c r="L378" s="2">
        <v>760</v>
      </c>
      <c r="M378" s="13">
        <f t="shared" si="29"/>
        <v>0.79581151832460728</v>
      </c>
      <c r="N378" s="27"/>
      <c r="O378" s="23">
        <v>169637</v>
      </c>
      <c r="P378" s="8">
        <f t="shared" si="42"/>
        <v>5472.1612903225805</v>
      </c>
      <c r="Q378" s="9">
        <f t="shared" si="43"/>
        <v>136.12434787222128</v>
      </c>
      <c r="R378" s="8">
        <v>800000</v>
      </c>
      <c r="S378" s="4">
        <f t="shared" si="45"/>
        <v>-55105.612903225818</v>
      </c>
      <c r="T378" s="21">
        <f t="shared" si="44"/>
        <v>-97371.618000000031</v>
      </c>
      <c r="U378" s="16">
        <f t="shared" si="47"/>
        <v>-457879.005</v>
      </c>
    </row>
    <row r="379" spans="1:21" x14ac:dyDescent="0.25">
      <c r="A379" s="3">
        <v>44713</v>
      </c>
      <c r="B379" s="2">
        <v>30</v>
      </c>
      <c r="C379" s="8">
        <v>23239367</v>
      </c>
      <c r="D379" s="8">
        <f t="shared" si="39"/>
        <v>774645.56666666665</v>
      </c>
      <c r="E379" s="9">
        <v>107.85</v>
      </c>
      <c r="F379" s="2">
        <v>954</v>
      </c>
      <c r="G379" s="8">
        <v>1323172</v>
      </c>
      <c r="H379" s="12">
        <f t="shared" si="40"/>
        <v>1.0603741662273036</v>
      </c>
      <c r="I379" s="8">
        <v>21212787</v>
      </c>
      <c r="J379" s="8">
        <f t="shared" si="41"/>
        <v>707092.9</v>
      </c>
      <c r="K379" s="13">
        <f t="shared" si="28"/>
        <v>0.9127953872409692</v>
      </c>
      <c r="L379" s="2">
        <v>757</v>
      </c>
      <c r="M379" s="13">
        <f t="shared" si="29"/>
        <v>0.79350104821802936</v>
      </c>
      <c r="N379" s="27"/>
      <c r="O379" s="23">
        <v>170350</v>
      </c>
      <c r="P379" s="8">
        <f t="shared" si="42"/>
        <v>5678.333333333333</v>
      </c>
      <c r="Q379" s="9">
        <f t="shared" si="43"/>
        <v>136.42129145876137</v>
      </c>
      <c r="R379" s="8">
        <v>800000</v>
      </c>
      <c r="S379" s="4">
        <f t="shared" si="45"/>
        <v>-25354.433333333349</v>
      </c>
      <c r="T379" s="21">
        <f t="shared" si="44"/>
        <v>-43356.081000000027</v>
      </c>
      <c r="U379" s="16">
        <f t="shared" si="47"/>
        <v>-501235.08600000001</v>
      </c>
    </row>
    <row r="380" spans="1:21" x14ac:dyDescent="0.25">
      <c r="A380" s="3">
        <v>44743</v>
      </c>
      <c r="B380" s="2">
        <v>31</v>
      </c>
      <c r="C380" s="8">
        <v>23975747</v>
      </c>
      <c r="D380" s="8">
        <f t="shared" si="39"/>
        <v>773411.19354838715</v>
      </c>
      <c r="E380" s="9">
        <v>93.887100000000004</v>
      </c>
      <c r="F380" s="2">
        <v>954</v>
      </c>
      <c r="G380" s="8">
        <v>1206424</v>
      </c>
      <c r="H380" s="12">
        <f t="shared" si="40"/>
        <v>1.0529846232143134</v>
      </c>
      <c r="I380" s="8">
        <v>22071510</v>
      </c>
      <c r="J380" s="8">
        <f t="shared" si="41"/>
        <v>711984.19354838715</v>
      </c>
      <c r="K380" s="13">
        <f t="shared" si="28"/>
        <v>0.9205765309418722</v>
      </c>
      <c r="L380" s="2">
        <v>757</v>
      </c>
      <c r="M380" s="13">
        <f t="shared" si="29"/>
        <v>0.79350104821802936</v>
      </c>
      <c r="N380" s="27"/>
      <c r="O380" s="23">
        <v>174365</v>
      </c>
      <c r="P380" s="8">
        <f t="shared" si="42"/>
        <v>5624.677419354839</v>
      </c>
      <c r="Q380" s="9">
        <f t="shared" si="43"/>
        <v>137.50320878616694</v>
      </c>
      <c r="R380" s="8">
        <v>800000</v>
      </c>
      <c r="S380" s="4">
        <f t="shared" si="45"/>
        <v>-26588.806451612851</v>
      </c>
      <c r="T380" s="21">
        <f t="shared" si="44"/>
        <v>-46982.420999999908</v>
      </c>
      <c r="U380" s="16">
        <f t="shared" si="47"/>
        <v>-548217.50699999987</v>
      </c>
    </row>
    <row r="381" spans="1:21" x14ac:dyDescent="0.25">
      <c r="A381" s="3">
        <v>44774</v>
      </c>
      <c r="B381" s="2">
        <v>31</v>
      </c>
      <c r="C381" s="4">
        <v>24124499</v>
      </c>
      <c r="D381" s="8">
        <f t="shared" si="39"/>
        <v>778209.6451612903</v>
      </c>
      <c r="E381" s="9">
        <v>85.161299999999997</v>
      </c>
      <c r="F381" s="2">
        <v>950</v>
      </c>
      <c r="G381" s="8">
        <v>1405672</v>
      </c>
      <c r="H381" s="12">
        <f t="shared" si="40"/>
        <v>1.0618725605859844</v>
      </c>
      <c r="I381" s="8">
        <v>22030584</v>
      </c>
      <c r="J381" s="8">
        <f t="shared" si="41"/>
        <v>710664</v>
      </c>
      <c r="K381" s="13">
        <f t="shared" si="28"/>
        <v>0.91320379337204061</v>
      </c>
      <c r="L381" s="2">
        <v>756</v>
      </c>
      <c r="M381" s="13">
        <f t="shared" si="29"/>
        <v>0.79578947368421049</v>
      </c>
      <c r="N381" s="27"/>
      <c r="O381" s="23">
        <v>172288</v>
      </c>
      <c r="P381" s="8">
        <f t="shared" si="42"/>
        <v>5557.677419354839</v>
      </c>
      <c r="Q381" s="9">
        <f t="shared" si="43"/>
        <v>140.02425589710251</v>
      </c>
      <c r="R381" s="8">
        <v>800000</v>
      </c>
      <c r="S381" s="4">
        <f t="shared" si="45"/>
        <v>-21790.354838709696</v>
      </c>
      <c r="T381" s="21">
        <f t="shared" ref="T381:T387" si="48">S381*0.059*B381</f>
        <v>-39854.55900000003</v>
      </c>
      <c r="U381" s="16">
        <f t="shared" si="47"/>
        <v>-588072.06599999988</v>
      </c>
    </row>
    <row r="382" spans="1:21" x14ac:dyDescent="0.25">
      <c r="A382" s="3">
        <v>44805</v>
      </c>
      <c r="B382" s="2">
        <v>30</v>
      </c>
      <c r="C382" s="8">
        <v>24028543</v>
      </c>
      <c r="D382" s="8">
        <f t="shared" si="39"/>
        <v>800951.43333333335</v>
      </c>
      <c r="E382" s="9">
        <v>77.7667</v>
      </c>
      <c r="F382" s="2">
        <v>959</v>
      </c>
      <c r="G382" s="8">
        <v>1142225</v>
      </c>
      <c r="H382" s="12">
        <f t="shared" si="40"/>
        <v>1.0499086397383799</v>
      </c>
      <c r="I382" s="8">
        <v>22220706</v>
      </c>
      <c r="J382" s="8">
        <f t="shared" si="41"/>
        <v>740690.2</v>
      </c>
      <c r="K382" s="13">
        <f t="shared" si="28"/>
        <v>0.92476293714521096</v>
      </c>
      <c r="L382" s="2">
        <v>761</v>
      </c>
      <c r="M382" s="13">
        <f t="shared" si="29"/>
        <v>0.79353493222106364</v>
      </c>
      <c r="N382" s="27"/>
      <c r="O382" s="23">
        <v>170795</v>
      </c>
      <c r="P382" s="8">
        <f t="shared" si="42"/>
        <v>5693.166666666667</v>
      </c>
      <c r="Q382" s="9">
        <f t="shared" si="43"/>
        <v>140.68645452150238</v>
      </c>
      <c r="R382" s="8">
        <v>800000</v>
      </c>
      <c r="S382" s="4">
        <f t="shared" si="45"/>
        <v>951.43333333334886</v>
      </c>
      <c r="T382" s="21">
        <f t="shared" si="48"/>
        <v>1684.0370000000275</v>
      </c>
      <c r="U382" s="16">
        <f t="shared" si="47"/>
        <v>-586388.02899999986</v>
      </c>
    </row>
    <row r="383" spans="1:21" x14ac:dyDescent="0.25">
      <c r="A383" s="3">
        <v>44835</v>
      </c>
      <c r="B383" s="2">
        <v>31</v>
      </c>
      <c r="C383" s="8">
        <v>24213516</v>
      </c>
      <c r="D383" s="8">
        <f t="shared" si="39"/>
        <v>781081.16129032255</v>
      </c>
      <c r="E383" s="9">
        <v>80.516099999999994</v>
      </c>
      <c r="F383" s="2">
        <v>957</v>
      </c>
      <c r="G383" s="8">
        <v>1362440</v>
      </c>
      <c r="H383" s="12">
        <f t="shared" si="40"/>
        <v>1.0596225753220549</v>
      </c>
      <c r="I383" s="8">
        <v>22138368</v>
      </c>
      <c r="J383" s="8">
        <f t="shared" si="41"/>
        <v>714140.90322580643</v>
      </c>
      <c r="K383" s="13">
        <f t="shared" si="28"/>
        <v>0.91429794830292299</v>
      </c>
      <c r="L383" s="2">
        <v>760</v>
      </c>
      <c r="M383" s="13">
        <f t="shared" si="29"/>
        <v>0.79414838035527691</v>
      </c>
      <c r="N383" s="27"/>
      <c r="O383" s="23">
        <v>173637</v>
      </c>
      <c r="P383" s="8">
        <f t="shared" si="42"/>
        <v>5601.1935483870966</v>
      </c>
      <c r="Q383" s="9">
        <f t="shared" si="43"/>
        <v>139.44905751654312</v>
      </c>
      <c r="R383" s="8">
        <v>800000</v>
      </c>
      <c r="S383" s="4">
        <f t="shared" si="45"/>
        <v>-18918.838709677453</v>
      </c>
      <c r="T383" s="21">
        <f t="shared" si="48"/>
        <v>-34602.556000000062</v>
      </c>
      <c r="U383" s="16">
        <f t="shared" si="47"/>
        <v>-620990.58499999996</v>
      </c>
    </row>
    <row r="384" spans="1:21" x14ac:dyDescent="0.25">
      <c r="A384" s="3">
        <v>44866</v>
      </c>
      <c r="B384" s="2">
        <v>30</v>
      </c>
      <c r="C384" s="8">
        <v>24144709</v>
      </c>
      <c r="D384" s="8">
        <f t="shared" si="39"/>
        <v>804823.6333333333</v>
      </c>
      <c r="E384" s="9">
        <v>77.808300000000003</v>
      </c>
      <c r="F384" s="2">
        <v>956</v>
      </c>
      <c r="G384" s="8">
        <v>1391846</v>
      </c>
      <c r="H384" s="12">
        <f t="shared" si="40"/>
        <v>1.061172345651622</v>
      </c>
      <c r="I384" s="8">
        <v>22025092</v>
      </c>
      <c r="J384" s="8">
        <f t="shared" si="41"/>
        <v>734169.73333333328</v>
      </c>
      <c r="K384" s="13">
        <f t="shared" si="28"/>
        <v>0.91221194672505679</v>
      </c>
      <c r="L384" s="2">
        <v>757</v>
      </c>
      <c r="M384" s="13">
        <f t="shared" si="29"/>
        <v>0.79184100418410042</v>
      </c>
      <c r="N384" s="27"/>
      <c r="O384" s="23">
        <v>172089</v>
      </c>
      <c r="P384" s="8">
        <f t="shared" si="42"/>
        <v>5736.3</v>
      </c>
      <c r="Q384" s="9">
        <f t="shared" si="43"/>
        <v>140.30361615210734</v>
      </c>
      <c r="R384" s="8">
        <v>800000</v>
      </c>
      <c r="S384" s="4">
        <f t="shared" si="45"/>
        <v>4823.6333333333023</v>
      </c>
      <c r="T384" s="21">
        <f t="shared" si="48"/>
        <v>8537.8309999999456</v>
      </c>
      <c r="U384" s="16">
        <f t="shared" si="47"/>
        <v>-612452.75400000007</v>
      </c>
    </row>
    <row r="385" spans="1:26" x14ac:dyDescent="0.25">
      <c r="A385" s="3">
        <v>44896</v>
      </c>
      <c r="B385" s="2">
        <v>31</v>
      </c>
      <c r="C385" s="8">
        <v>24332248</v>
      </c>
      <c r="D385" s="8">
        <f t="shared" si="39"/>
        <v>784911.22580645164</v>
      </c>
      <c r="E385" s="9">
        <v>70.411299999999997</v>
      </c>
      <c r="F385" s="2">
        <v>957</v>
      </c>
      <c r="G385" s="8">
        <v>1237431</v>
      </c>
      <c r="H385" s="12">
        <f t="shared" si="40"/>
        <v>1.0535804635299773</v>
      </c>
      <c r="I385" s="8">
        <v>22362807</v>
      </c>
      <c r="J385" s="8">
        <f t="shared" si="41"/>
        <v>721380.87096774194</v>
      </c>
      <c r="K385" s="13">
        <f t="shared" si="28"/>
        <v>0.91906045836784167</v>
      </c>
      <c r="L385" s="2">
        <v>757</v>
      </c>
      <c r="M385" s="13">
        <f t="shared" si="29"/>
        <v>0.79101358411703238</v>
      </c>
      <c r="N385" s="27"/>
      <c r="O385" s="23">
        <v>173192</v>
      </c>
      <c r="P385" s="8">
        <f t="shared" si="42"/>
        <v>5586.8387096774195</v>
      </c>
      <c r="Q385" s="9">
        <f t="shared" si="43"/>
        <v>140.49290960321494</v>
      </c>
      <c r="R385" s="8">
        <v>800000</v>
      </c>
      <c r="S385" s="4">
        <f t="shared" si="45"/>
        <v>-15088.774193548365</v>
      </c>
      <c r="T385" s="21">
        <f t="shared" si="48"/>
        <v>-27597.367999999955</v>
      </c>
      <c r="U385" s="16">
        <f t="shared" si="47"/>
        <v>-640050.12199999997</v>
      </c>
    </row>
    <row r="386" spans="1:26" x14ac:dyDescent="0.25">
      <c r="A386" s="3">
        <v>44927</v>
      </c>
      <c r="B386" s="2">
        <v>31</v>
      </c>
      <c r="C386" s="8">
        <v>24575254</v>
      </c>
      <c r="D386" s="8">
        <f t="shared" si="39"/>
        <v>792750.12903225806</v>
      </c>
      <c r="E386" s="9">
        <v>72.201599999999999</v>
      </c>
      <c r="F386" s="2">
        <v>964</v>
      </c>
      <c r="G386" s="8">
        <v>1138751</v>
      </c>
      <c r="H386" s="12">
        <f t="shared" si="40"/>
        <v>1.0485887762350894</v>
      </c>
      <c r="I386" s="8">
        <v>22704487</v>
      </c>
      <c r="J386" s="8">
        <f t="shared" si="41"/>
        <v>732402.80645161285</v>
      </c>
      <c r="K386" s="13">
        <f t="shared" si="28"/>
        <v>0.92387598516784408</v>
      </c>
      <c r="L386" s="2">
        <v>763</v>
      </c>
      <c r="M386" s="13">
        <f t="shared" si="29"/>
        <v>0.79149377593360992</v>
      </c>
      <c r="N386" s="27">
        <v>23508</v>
      </c>
      <c r="O386" s="23">
        <v>174928</v>
      </c>
      <c r="P386" s="8">
        <f t="shared" si="42"/>
        <v>5642.8387096774195</v>
      </c>
      <c r="Q386" s="9">
        <f t="shared" si="43"/>
        <v>140.35343684258666</v>
      </c>
      <c r="R386" s="8">
        <v>800000</v>
      </c>
      <c r="S386" s="4">
        <f t="shared" si="45"/>
        <v>-7249.8709677419392</v>
      </c>
      <c r="T386" s="21">
        <f t="shared" si="48"/>
        <v>-13260.014000000006</v>
      </c>
      <c r="U386" s="16">
        <f>T386</f>
        <v>-13260.014000000006</v>
      </c>
    </row>
    <row r="387" spans="1:26" x14ac:dyDescent="0.25">
      <c r="A387" s="3">
        <v>44958</v>
      </c>
      <c r="B387" s="2">
        <v>28</v>
      </c>
      <c r="C387" s="8">
        <v>22255966</v>
      </c>
      <c r="D387" s="8">
        <f t="shared" si="39"/>
        <v>794855.92857142852</v>
      </c>
      <c r="E387" s="9">
        <v>70.428600000000003</v>
      </c>
      <c r="F387" s="2">
        <v>963</v>
      </c>
      <c r="G387" s="8">
        <v>826196</v>
      </c>
      <c r="H387" s="12">
        <f t="shared" si="40"/>
        <v>1.0385536568987908</v>
      </c>
      <c r="I387" s="8">
        <v>20722947</v>
      </c>
      <c r="J387" s="8">
        <f t="shared" si="41"/>
        <v>740105.25</v>
      </c>
      <c r="K387" s="13">
        <f t="shared" si="28"/>
        <v>0.93111873912819598</v>
      </c>
      <c r="L387" s="2">
        <v>762</v>
      </c>
      <c r="M387" s="13">
        <f t="shared" si="29"/>
        <v>0.79127725856697817</v>
      </c>
      <c r="N387" s="27">
        <v>10114</v>
      </c>
      <c r="O387" s="23">
        <v>157176</v>
      </c>
      <c r="P387" s="8">
        <f t="shared" si="42"/>
        <v>5613.4285714285716</v>
      </c>
      <c r="Q387" s="9">
        <f t="shared" si="43"/>
        <v>141.53466178042447</v>
      </c>
      <c r="R387" s="8">
        <v>800000</v>
      </c>
      <c r="S387" s="4">
        <f t="shared" si="45"/>
        <v>-5144.0714285714785</v>
      </c>
      <c r="T387" s="21">
        <f t="shared" si="48"/>
        <v>-8498.0060000000813</v>
      </c>
      <c r="U387" s="16">
        <f>U386+T387</f>
        <v>-21758.020000000088</v>
      </c>
    </row>
    <row r="388" spans="1:26" x14ac:dyDescent="0.25">
      <c r="A388" s="3">
        <v>44986</v>
      </c>
      <c r="B388" s="2">
        <v>31</v>
      </c>
      <c r="C388" s="8">
        <v>24998254</v>
      </c>
      <c r="D388" s="8">
        <f t="shared" si="39"/>
        <v>806395.29032258061</v>
      </c>
      <c r="E388" s="9">
        <v>67.02</v>
      </c>
      <c r="F388" s="2">
        <v>964</v>
      </c>
      <c r="G388" s="8">
        <v>1263128</v>
      </c>
      <c r="H388" s="12">
        <f t="shared" si="40"/>
        <v>1.0532176656656467</v>
      </c>
      <c r="I388" s="8">
        <v>23036270</v>
      </c>
      <c r="J388" s="8">
        <f t="shared" si="41"/>
        <v>743105.48387096776</v>
      </c>
      <c r="K388" s="13">
        <f t="shared" si="28"/>
        <v>0.92151515861867794</v>
      </c>
      <c r="L388" s="2">
        <v>763</v>
      </c>
      <c r="M388" s="13">
        <f t="shared" si="29"/>
        <v>0.79149377593360992</v>
      </c>
      <c r="N388" s="27">
        <v>11197</v>
      </c>
      <c r="O388" s="23">
        <v>177746</v>
      </c>
      <c r="P388" s="8">
        <f t="shared" si="42"/>
        <v>5733.7419354838712</v>
      </c>
      <c r="Q388" s="9">
        <f t="shared" si="43"/>
        <v>140.57732382163309</v>
      </c>
      <c r="R388" s="8">
        <v>800000</v>
      </c>
      <c r="S388" s="4">
        <f t="shared" si="45"/>
        <v>6395.2903225806076</v>
      </c>
      <c r="T388" s="21">
        <f t="shared" ref="T388:T434" si="49">S388*0.065*B388</f>
        <v>12886.509999999924</v>
      </c>
      <c r="U388" s="16">
        <f>U387+T388</f>
        <v>-8871.5100000001639</v>
      </c>
    </row>
    <row r="389" spans="1:26" x14ac:dyDescent="0.25">
      <c r="A389" s="3">
        <v>45017</v>
      </c>
      <c r="B389" s="2">
        <v>30</v>
      </c>
      <c r="C389" s="8">
        <v>23926723</v>
      </c>
      <c r="D389" s="8">
        <f t="shared" si="39"/>
        <v>797557.43333333335</v>
      </c>
      <c r="E389" s="9">
        <v>72.966700000000003</v>
      </c>
      <c r="F389" s="2">
        <v>962</v>
      </c>
      <c r="G389" s="8">
        <v>1449421</v>
      </c>
      <c r="H389" s="12">
        <f t="shared" si="40"/>
        <v>1.0644837623305501</v>
      </c>
      <c r="I389" s="8">
        <v>21787927</v>
      </c>
      <c r="J389" s="8">
        <f t="shared" si="41"/>
        <v>726264.23333333328</v>
      </c>
      <c r="K389" s="13">
        <f t="shared" si="28"/>
        <v>0.91061057546409507</v>
      </c>
      <c r="L389" s="2">
        <v>763</v>
      </c>
      <c r="M389" s="13">
        <f t="shared" si="29"/>
        <v>0.7931392931392931</v>
      </c>
      <c r="N389" s="27">
        <v>17729</v>
      </c>
      <c r="O389" s="23">
        <v>170486</v>
      </c>
      <c r="P389" s="8">
        <f t="shared" si="42"/>
        <v>5682.8666666666668</v>
      </c>
      <c r="Q389" s="9">
        <f t="shared" si="43"/>
        <v>140.24021913822835</v>
      </c>
      <c r="R389" s="8">
        <v>800000</v>
      </c>
      <c r="S389" s="4">
        <f t="shared" si="45"/>
        <v>-2442.5666666666511</v>
      </c>
      <c r="T389" s="21">
        <f t="shared" si="49"/>
        <v>-4763.0049999999701</v>
      </c>
      <c r="U389" s="16">
        <f t="shared" ref="U389:U397" si="50">U388+T389</f>
        <v>-13634.515000000134</v>
      </c>
    </row>
    <row r="390" spans="1:26" x14ac:dyDescent="0.25">
      <c r="A390" s="3">
        <v>45047</v>
      </c>
      <c r="B390" s="2">
        <v>31</v>
      </c>
      <c r="C390" s="8">
        <v>25688913</v>
      </c>
      <c r="D390" s="8">
        <f t="shared" si="39"/>
        <v>828674.61290322582</v>
      </c>
      <c r="E390" s="9">
        <v>65.346800000000002</v>
      </c>
      <c r="F390" s="2">
        <v>963</v>
      </c>
      <c r="G390" s="8">
        <v>1518015</v>
      </c>
      <c r="H390" s="12">
        <f t="shared" si="40"/>
        <v>1.0628034175643783</v>
      </c>
      <c r="I390" s="8">
        <v>23421778</v>
      </c>
      <c r="J390" s="8">
        <f t="shared" si="41"/>
        <v>755541.22580645164</v>
      </c>
      <c r="K390" s="13">
        <f t="shared" si="28"/>
        <v>0.91174655774652669</v>
      </c>
      <c r="L390" s="2">
        <v>763</v>
      </c>
      <c r="M390" s="13">
        <f t="shared" si="29"/>
        <v>0.79231568016614751</v>
      </c>
      <c r="N390" s="27">
        <v>12068</v>
      </c>
      <c r="O390" s="23">
        <v>181286</v>
      </c>
      <c r="P390" s="8">
        <f t="shared" si="42"/>
        <v>5847.9354838709678</v>
      </c>
      <c r="Q390" s="9">
        <f t="shared" si="43"/>
        <v>141.63721964189182</v>
      </c>
      <c r="R390" s="8">
        <v>800000</v>
      </c>
      <c r="S390" s="4">
        <f t="shared" si="45"/>
        <v>28674.612903225818</v>
      </c>
      <c r="T390" s="21">
        <f t="shared" si="49"/>
        <v>57779.345000000023</v>
      </c>
      <c r="U390" s="16">
        <f t="shared" si="50"/>
        <v>44144.829999999885</v>
      </c>
      <c r="Y390">
        <v>692750</v>
      </c>
    </row>
    <row r="391" spans="1:26" x14ac:dyDescent="0.25">
      <c r="A391" s="3">
        <v>45078</v>
      </c>
      <c r="B391" s="2">
        <v>30</v>
      </c>
      <c r="C391" s="8">
        <v>20809166</v>
      </c>
      <c r="D391" s="8">
        <f t="shared" si="39"/>
        <v>693638.8666666667</v>
      </c>
      <c r="E391" s="9">
        <v>64.150000000000006</v>
      </c>
      <c r="F391" s="2">
        <v>961</v>
      </c>
      <c r="G391" s="8">
        <v>863951</v>
      </c>
      <c r="H391" s="12">
        <f t="shared" si="40"/>
        <v>1.0433162039115647</v>
      </c>
      <c r="I391" s="8">
        <v>19345210</v>
      </c>
      <c r="J391" s="8">
        <f t="shared" si="41"/>
        <v>644840.33333333337</v>
      </c>
      <c r="K391" s="13">
        <f t="shared" si="28"/>
        <v>0.92964850201108495</v>
      </c>
      <c r="L391" s="2">
        <v>761</v>
      </c>
      <c r="M391" s="13">
        <f t="shared" si="29"/>
        <v>0.79188345473465138</v>
      </c>
      <c r="N391" s="27">
        <v>9068</v>
      </c>
      <c r="O391" s="23">
        <v>147980</v>
      </c>
      <c r="P391" s="8">
        <f t="shared" si="42"/>
        <v>4932.666666666667</v>
      </c>
      <c r="Q391" s="9">
        <f t="shared" si="43"/>
        <v>140.56019732396268</v>
      </c>
      <c r="R391" s="8">
        <v>800000</v>
      </c>
      <c r="S391" s="4">
        <f t="shared" si="45"/>
        <v>-106361.1333333333</v>
      </c>
      <c r="T391" s="21">
        <f t="shared" si="49"/>
        <v>-207404.20999999996</v>
      </c>
      <c r="U391" s="16">
        <f t="shared" si="50"/>
        <v>-163259.38000000006</v>
      </c>
      <c r="V391">
        <v>16660577</v>
      </c>
      <c r="W391" s="24">
        <f>V391/C391</f>
        <v>0.80063645991386678</v>
      </c>
      <c r="X391">
        <f t="shared" ref="X391:X428" si="51">V391/B391</f>
        <v>555352.56666666665</v>
      </c>
    </row>
    <row r="392" spans="1:26" x14ac:dyDescent="0.25">
      <c r="A392" s="3">
        <v>45108</v>
      </c>
      <c r="B392" s="2">
        <v>31</v>
      </c>
      <c r="C392" s="8">
        <v>25195644</v>
      </c>
      <c r="D392" s="8">
        <f t="shared" si="39"/>
        <v>812762.70967741939</v>
      </c>
      <c r="E392" s="9">
        <v>69.379000000000005</v>
      </c>
      <c r="F392" s="2">
        <v>960</v>
      </c>
      <c r="G392" s="8">
        <v>1126724</v>
      </c>
      <c r="H392" s="12">
        <f t="shared" si="40"/>
        <v>1.0468124037140012</v>
      </c>
      <c r="I392" s="8">
        <v>23390812</v>
      </c>
      <c r="J392" s="8">
        <f t="shared" si="41"/>
        <v>754542.32258064521</v>
      </c>
      <c r="K392" s="13">
        <f t="shared" si="28"/>
        <v>0.92836730031588</v>
      </c>
      <c r="L392" s="2">
        <v>760</v>
      </c>
      <c r="M392" s="13">
        <f t="shared" si="29"/>
        <v>0.79166666666666663</v>
      </c>
      <c r="N392" s="27">
        <v>8150</v>
      </c>
      <c r="O392" s="23">
        <v>176993</v>
      </c>
      <c r="P392" s="8">
        <f t="shared" si="42"/>
        <v>5709.4516129032254</v>
      </c>
      <c r="Q392" s="9">
        <f t="shared" si="43"/>
        <v>142.30785398292591</v>
      </c>
      <c r="R392" s="8">
        <v>800000</v>
      </c>
      <c r="S392" s="4">
        <f t="shared" si="45"/>
        <v>12762.709677419392</v>
      </c>
      <c r="T392" s="21">
        <f t="shared" si="49"/>
        <v>25716.860000000077</v>
      </c>
      <c r="U392" s="16">
        <f t="shared" si="50"/>
        <v>-137542.51999999999</v>
      </c>
      <c r="V392">
        <v>20524647</v>
      </c>
      <c r="W392" s="24">
        <f t="shared" ref="W392:W412" si="52">V392/C392</f>
        <v>0.81461093036558219</v>
      </c>
      <c r="X392">
        <f t="shared" si="51"/>
        <v>662085.38709677418</v>
      </c>
    </row>
    <row r="393" spans="1:26" x14ac:dyDescent="0.25">
      <c r="A393" s="3">
        <v>45139</v>
      </c>
      <c r="B393" s="2">
        <v>31</v>
      </c>
      <c r="C393" s="8">
        <v>25649849</v>
      </c>
      <c r="D393" s="8">
        <f t="shared" si="39"/>
        <v>827414.48387096776</v>
      </c>
      <c r="E393" s="9">
        <v>75.153199999999998</v>
      </c>
      <c r="F393" s="2">
        <v>961</v>
      </c>
      <c r="G393" s="8">
        <v>1429971</v>
      </c>
      <c r="H393" s="12">
        <f t="shared" si="40"/>
        <v>1.0590412139978576</v>
      </c>
      <c r="I393" s="8">
        <v>23567041</v>
      </c>
      <c r="J393" s="8">
        <f t="shared" si="41"/>
        <v>760227.12903225806</v>
      </c>
      <c r="K393" s="13">
        <f t="shared" si="28"/>
        <v>0.91879843035333264</v>
      </c>
      <c r="L393" s="2">
        <v>760</v>
      </c>
      <c r="M393" s="13">
        <f t="shared" si="29"/>
        <v>0.7908428720083247</v>
      </c>
      <c r="N393" s="27">
        <v>8188</v>
      </c>
      <c r="O393" s="23">
        <v>176883</v>
      </c>
      <c r="P393" s="8">
        <f t="shared" si="42"/>
        <v>5705.9032258064517</v>
      </c>
      <c r="Q393" s="9">
        <f t="shared" si="43"/>
        <v>144.96396488074038</v>
      </c>
      <c r="R393" s="8">
        <v>800000</v>
      </c>
      <c r="S393" s="4">
        <f t="shared" si="45"/>
        <v>27414.483870967757</v>
      </c>
      <c r="T393" s="21">
        <f t="shared" si="49"/>
        <v>55240.185000000034</v>
      </c>
      <c r="U393" s="16">
        <f t="shared" si="50"/>
        <v>-82302.334999999963</v>
      </c>
      <c r="V393">
        <v>21089693</v>
      </c>
      <c r="W393" s="24">
        <f t="shared" si="52"/>
        <v>0.8222150937418774</v>
      </c>
      <c r="X393">
        <f t="shared" si="51"/>
        <v>680312.67741935479</v>
      </c>
    </row>
    <row r="394" spans="1:26" x14ac:dyDescent="0.25">
      <c r="A394" s="3">
        <v>45170</v>
      </c>
      <c r="B394" s="2">
        <v>30</v>
      </c>
      <c r="C394" s="8">
        <v>24982274</v>
      </c>
      <c r="D394" s="8">
        <f t="shared" si="39"/>
        <v>832742.46666666667</v>
      </c>
      <c r="E394" s="9">
        <v>82.825000000000003</v>
      </c>
      <c r="F394" s="2">
        <v>962</v>
      </c>
      <c r="G394" s="8">
        <v>1195098</v>
      </c>
      <c r="H394" s="12">
        <f t="shared" si="40"/>
        <v>1.0502412728606372</v>
      </c>
      <c r="I394" s="8">
        <v>23147432</v>
      </c>
      <c r="J394" s="8">
        <f t="shared" si="41"/>
        <v>771581.06666666665</v>
      </c>
      <c r="K394" s="13">
        <f t="shared" si="28"/>
        <v>0.92655424402118081</v>
      </c>
      <c r="L394" s="2">
        <v>761</v>
      </c>
      <c r="M394" s="13">
        <f t="shared" si="29"/>
        <v>0.79106029106029108</v>
      </c>
      <c r="N394" s="27">
        <v>8563</v>
      </c>
      <c r="O394" s="23">
        <v>166541</v>
      </c>
      <c r="P394" s="8">
        <f t="shared" si="42"/>
        <v>5551.3666666666668</v>
      </c>
      <c r="Q394" s="9">
        <f t="shared" si="43"/>
        <v>149.95533232056971</v>
      </c>
      <c r="R394" s="8">
        <v>800000</v>
      </c>
      <c r="S394" s="4">
        <f t="shared" si="45"/>
        <v>32742.466666666674</v>
      </c>
      <c r="T394" s="21">
        <f t="shared" si="49"/>
        <v>63847.810000000019</v>
      </c>
      <c r="U394" s="16">
        <f t="shared" si="50"/>
        <v>-18454.524999999943</v>
      </c>
      <c r="V394">
        <v>20506984</v>
      </c>
      <c r="W394" s="24">
        <f t="shared" si="52"/>
        <v>0.82086138355539617</v>
      </c>
      <c r="X394">
        <f t="shared" si="51"/>
        <v>683566.1333333333</v>
      </c>
    </row>
    <row r="395" spans="1:26" x14ac:dyDescent="0.25">
      <c r="A395" s="3">
        <v>45200</v>
      </c>
      <c r="B395" s="2">
        <v>31</v>
      </c>
      <c r="C395" s="8">
        <v>26361666</v>
      </c>
      <c r="D395" s="8">
        <f t="shared" si="39"/>
        <v>850376.32258064521</v>
      </c>
      <c r="E395" s="9">
        <v>79.548400000000001</v>
      </c>
      <c r="F395" s="2">
        <v>964</v>
      </c>
      <c r="G395" s="8">
        <v>1091608</v>
      </c>
      <c r="H395" s="12">
        <f t="shared" si="40"/>
        <v>1.0431976847856859</v>
      </c>
      <c r="I395" s="8">
        <v>24601316</v>
      </c>
      <c r="J395" s="8">
        <f t="shared" si="41"/>
        <v>793590.83870967745</v>
      </c>
      <c r="K395" s="13">
        <f t="shared" si="28"/>
        <v>0.93322311268187674</v>
      </c>
      <c r="L395" s="2">
        <v>761</v>
      </c>
      <c r="M395" s="13">
        <f t="shared" si="29"/>
        <v>0.78941908713692943</v>
      </c>
      <c r="N395" s="27">
        <v>11446</v>
      </c>
      <c r="O395" s="23">
        <v>183472</v>
      </c>
      <c r="P395" s="8">
        <f t="shared" si="42"/>
        <v>5918.4516129032254</v>
      </c>
      <c r="Q395" s="9">
        <f t="shared" si="43"/>
        <v>143.61984389988663</v>
      </c>
      <c r="R395" s="8">
        <v>800000</v>
      </c>
      <c r="S395" s="4">
        <f t="shared" si="45"/>
        <v>50376.32258064521</v>
      </c>
      <c r="T395" s="21">
        <f t="shared" si="49"/>
        <v>101508.29000000011</v>
      </c>
      <c r="U395" s="16">
        <f t="shared" si="50"/>
        <v>83053.765000000159</v>
      </c>
      <c r="V395">
        <v>21161252</v>
      </c>
      <c r="W395" s="24">
        <f t="shared" si="52"/>
        <v>0.80272817355321924</v>
      </c>
      <c r="X395">
        <f t="shared" si="51"/>
        <v>682621.03225806449</v>
      </c>
    </row>
    <row r="396" spans="1:26" x14ac:dyDescent="0.25">
      <c r="A396" s="3">
        <v>45231</v>
      </c>
      <c r="B396" s="2">
        <v>30</v>
      </c>
      <c r="C396" s="8">
        <v>25861678</v>
      </c>
      <c r="D396" s="8">
        <f t="shared" si="39"/>
        <v>862055.93333333335</v>
      </c>
      <c r="E396" s="9">
        <v>71.066699999999997</v>
      </c>
      <c r="F396" s="2">
        <v>964</v>
      </c>
      <c r="G396" s="8">
        <v>1100006</v>
      </c>
      <c r="H396" s="12">
        <f t="shared" si="40"/>
        <v>1.0444237368138953</v>
      </c>
      <c r="I396" s="8">
        <v>24157865</v>
      </c>
      <c r="J396" s="8">
        <f t="shared" si="41"/>
        <v>805262.16666666663</v>
      </c>
      <c r="K396" s="13">
        <f t="shared" si="28"/>
        <v>0.93411823471006017</v>
      </c>
      <c r="L396" s="2">
        <v>765</v>
      </c>
      <c r="M396" s="13">
        <f t="shared" si="29"/>
        <v>0.79356846473029041</v>
      </c>
      <c r="N396" s="27">
        <v>8528</v>
      </c>
      <c r="O396" s="23">
        <v>172847</v>
      </c>
      <c r="P396" s="8">
        <f t="shared" si="42"/>
        <v>5761.5666666666666</v>
      </c>
      <c r="Q396" s="9">
        <f t="shared" si="43"/>
        <v>149.57245425144779</v>
      </c>
      <c r="R396" s="8">
        <v>800000</v>
      </c>
      <c r="S396" s="4">
        <f t="shared" si="45"/>
        <v>62055.933333333349</v>
      </c>
      <c r="T396" s="21">
        <f t="shared" si="49"/>
        <v>121009.07000000004</v>
      </c>
      <c r="U396" s="16">
        <f t="shared" si="50"/>
        <v>204062.8350000002</v>
      </c>
      <c r="V396">
        <v>21159999</v>
      </c>
      <c r="W396" s="24">
        <f t="shared" si="52"/>
        <v>0.81819899698697041</v>
      </c>
      <c r="X396">
        <f t="shared" si="51"/>
        <v>705333.3</v>
      </c>
      <c r="Y396">
        <f>X396-Y390</f>
        <v>12583.300000000047</v>
      </c>
      <c r="Z396">
        <f>Y396*B396*0.03</f>
        <v>11324.970000000041</v>
      </c>
    </row>
    <row r="397" spans="1:26" x14ac:dyDescent="0.25">
      <c r="A397" s="3">
        <v>45261</v>
      </c>
      <c r="B397" s="2">
        <v>31</v>
      </c>
      <c r="C397" s="8">
        <v>26530178</v>
      </c>
      <c r="D397" s="8">
        <f t="shared" si="39"/>
        <v>855812.19354838715</v>
      </c>
      <c r="E397" s="9">
        <v>65.983900000000006</v>
      </c>
      <c r="F397" s="2">
        <v>964</v>
      </c>
      <c r="G397" s="8">
        <v>1004286</v>
      </c>
      <c r="H397" s="12">
        <f t="shared" si="40"/>
        <v>1.0393438160750661</v>
      </c>
      <c r="I397" s="8">
        <v>24958643</v>
      </c>
      <c r="J397" s="8">
        <f t="shared" si="41"/>
        <v>805117.51612903224</v>
      </c>
      <c r="K397" s="13">
        <f t="shared" ref="K397:K428" si="53">+I397/C397</f>
        <v>0.94076424967823435</v>
      </c>
      <c r="L397" s="2">
        <v>764</v>
      </c>
      <c r="M397" s="13">
        <f t="shared" ref="M397:M428" si="54">+L397/F397</f>
        <v>0.79253112033195017</v>
      </c>
      <c r="N397" s="27">
        <v>44203</v>
      </c>
      <c r="O397" s="23">
        <v>180367</v>
      </c>
      <c r="P397" s="8">
        <f t="shared" si="42"/>
        <v>5818.2903225806449</v>
      </c>
      <c r="Q397" s="9">
        <f t="shared" si="43"/>
        <v>146.84490511013658</v>
      </c>
      <c r="R397" s="8">
        <v>800000</v>
      </c>
      <c r="S397" s="4">
        <f t="shared" si="45"/>
        <v>55812.193548387149</v>
      </c>
      <c r="T397" s="21">
        <f t="shared" si="49"/>
        <v>112461.57000000011</v>
      </c>
      <c r="U397" s="16">
        <f t="shared" si="50"/>
        <v>316524.40500000032</v>
      </c>
      <c r="V397">
        <v>21750126</v>
      </c>
      <c r="W397" s="24">
        <f t="shared" si="52"/>
        <v>0.8198258601958871</v>
      </c>
      <c r="X397">
        <f t="shared" si="51"/>
        <v>701616.96774193551</v>
      </c>
      <c r="Y397">
        <f>X397-Y390</f>
        <v>8866.9677419355139</v>
      </c>
      <c r="Z397">
        <f>Y397*B397*0.03</f>
        <v>8246.2800000000279</v>
      </c>
    </row>
    <row r="398" spans="1:26" x14ac:dyDescent="0.25">
      <c r="A398" s="3">
        <v>45292</v>
      </c>
      <c r="B398" s="2">
        <v>31</v>
      </c>
      <c r="C398" s="8">
        <v>25436326</v>
      </c>
      <c r="D398" s="8">
        <f t="shared" si="39"/>
        <v>820526.6451612903</v>
      </c>
      <c r="E398" s="9">
        <v>67.629000000000005</v>
      </c>
      <c r="F398" s="2">
        <v>965</v>
      </c>
      <c r="G398" s="8">
        <v>1475668</v>
      </c>
      <c r="H398" s="12">
        <f t="shared" ref="H398:H404" si="55">(G398/C398)+1</f>
        <v>1.058014195918074</v>
      </c>
      <c r="I398" s="8">
        <v>23447132</v>
      </c>
      <c r="J398" s="8">
        <f t="shared" si="41"/>
        <v>756359.09677419357</v>
      </c>
      <c r="K398" s="13">
        <f t="shared" si="53"/>
        <v>0.92179711802718678</v>
      </c>
      <c r="L398" s="2">
        <v>763</v>
      </c>
      <c r="M398" s="13">
        <f t="shared" si="54"/>
        <v>0.79067357512953362</v>
      </c>
      <c r="N398" s="27">
        <v>30822</v>
      </c>
      <c r="O398" s="23">
        <v>165469</v>
      </c>
      <c r="P398" s="8">
        <f t="shared" si="42"/>
        <v>5337.7096774193551</v>
      </c>
      <c r="Q398" s="9">
        <f t="shared" si="43"/>
        <v>153.53633611129575</v>
      </c>
      <c r="R398" s="8">
        <v>850000</v>
      </c>
      <c r="S398" s="4">
        <f t="shared" si="45"/>
        <v>-29473.354838709696</v>
      </c>
      <c r="T398" s="21">
        <f t="shared" si="49"/>
        <v>-59388.810000000041</v>
      </c>
      <c r="U398" s="16">
        <f>T398</f>
        <v>-59388.810000000041</v>
      </c>
      <c r="V398">
        <v>20690819</v>
      </c>
      <c r="W398" s="24">
        <f t="shared" si="52"/>
        <v>0.81343583188861468</v>
      </c>
      <c r="X398">
        <f t="shared" si="51"/>
        <v>667445.77419354836</v>
      </c>
      <c r="Z398">
        <f>Y398*B398*0.03</f>
        <v>0</v>
      </c>
    </row>
    <row r="399" spans="1:26" x14ac:dyDescent="0.25">
      <c r="A399" s="3">
        <v>45323</v>
      </c>
      <c r="B399" s="2">
        <v>29</v>
      </c>
      <c r="C399" s="8">
        <v>24886001</v>
      </c>
      <c r="D399" s="8">
        <f t="shared" si="39"/>
        <v>858137.96551724139</v>
      </c>
      <c r="E399" s="9">
        <v>70.301699999999997</v>
      </c>
      <c r="F399" s="2">
        <v>966</v>
      </c>
      <c r="G399" s="8">
        <v>1142326</v>
      </c>
      <c r="H399" s="12">
        <f t="shared" si="55"/>
        <v>1.0459023528930984</v>
      </c>
      <c r="I399" s="8">
        <v>23240885</v>
      </c>
      <c r="J399" s="8">
        <f t="shared" si="41"/>
        <v>801409.82758620684</v>
      </c>
      <c r="K399" s="13">
        <f t="shared" si="53"/>
        <v>0.93389391891449336</v>
      </c>
      <c r="L399" s="2">
        <v>764</v>
      </c>
      <c r="M399" s="13">
        <f t="shared" si="54"/>
        <v>0.79089026915113869</v>
      </c>
      <c r="N399" s="27">
        <v>32708</v>
      </c>
      <c r="O399" s="23">
        <v>166842</v>
      </c>
      <c r="P399" s="8">
        <f t="shared" si="42"/>
        <v>5753.1724137931033</v>
      </c>
      <c r="Q399" s="9">
        <f t="shared" si="43"/>
        <v>148.96304887258603</v>
      </c>
      <c r="R399" s="8">
        <v>850000</v>
      </c>
      <c r="S399" s="4">
        <f t="shared" si="45"/>
        <v>8137.9655172413914</v>
      </c>
      <c r="T399" s="21">
        <f t="shared" si="49"/>
        <v>15340.065000000024</v>
      </c>
      <c r="U399" s="16">
        <f>U398+T399</f>
        <v>-44048.745000000017</v>
      </c>
      <c r="V399">
        <v>20341896</v>
      </c>
      <c r="W399" s="24">
        <f t="shared" si="52"/>
        <v>0.81740316573964611</v>
      </c>
      <c r="X399">
        <f t="shared" si="51"/>
        <v>701444.68965517241</v>
      </c>
      <c r="Y399">
        <f>X399-Y390</f>
        <v>8694.6896551724058</v>
      </c>
      <c r="Z399">
        <f>Y399*B399*0.03</f>
        <v>7564.3799999999928</v>
      </c>
    </row>
    <row r="400" spans="1:26" x14ac:dyDescent="0.25">
      <c r="A400" s="3">
        <v>45352</v>
      </c>
      <c r="B400" s="2">
        <v>31</v>
      </c>
      <c r="C400" s="8">
        <v>26871546</v>
      </c>
      <c r="D400" s="8">
        <f t="shared" si="39"/>
        <v>866824.06451612909</v>
      </c>
      <c r="E400" s="9">
        <v>74.274199999999993</v>
      </c>
      <c r="F400" s="2">
        <v>967</v>
      </c>
      <c r="G400" s="8">
        <v>1485720</v>
      </c>
      <c r="H400" s="12">
        <f t="shared" si="55"/>
        <v>1.0552897105361931</v>
      </c>
      <c r="I400" s="8">
        <v>24900429</v>
      </c>
      <c r="J400" s="8">
        <f t="shared" si="41"/>
        <v>803239.6451612903</v>
      </c>
      <c r="K400" s="13">
        <f t="shared" si="53"/>
        <v>0.92664668419152363</v>
      </c>
      <c r="L400" s="2">
        <v>765</v>
      </c>
      <c r="M400" s="13">
        <f t="shared" si="54"/>
        <v>0.79110651499482942</v>
      </c>
      <c r="N400" s="27">
        <v>33021</v>
      </c>
      <c r="O400" s="23">
        <v>178082</v>
      </c>
      <c r="P400" s="8">
        <f t="shared" si="42"/>
        <v>5744.5806451612907</v>
      </c>
      <c r="Q400" s="9">
        <f t="shared" si="43"/>
        <v>150.70880268640289</v>
      </c>
      <c r="R400" s="8">
        <v>850000</v>
      </c>
      <c r="S400" s="4">
        <f t="shared" si="45"/>
        <v>16824.064516129089</v>
      </c>
      <c r="T400" s="21">
        <f t="shared" si="49"/>
        <v>33900.490000000122</v>
      </c>
      <c r="U400" s="16">
        <f>U399+T400</f>
        <v>-10148.254999999896</v>
      </c>
      <c r="V400">
        <v>22099853</v>
      </c>
      <c r="W400" s="24">
        <f t="shared" si="52"/>
        <v>0.82242581055812713</v>
      </c>
      <c r="X400">
        <f t="shared" si="51"/>
        <v>712898.48387096776</v>
      </c>
      <c r="Y400">
        <f>X400-$Y$390</f>
        <v>20148.483870967757</v>
      </c>
      <c r="Z400">
        <f>Y400*B400*0.03</f>
        <v>18738.090000000015</v>
      </c>
    </row>
    <row r="401" spans="1:28" x14ac:dyDescent="0.25">
      <c r="A401" s="3">
        <v>45383</v>
      </c>
      <c r="B401" s="2">
        <v>30</v>
      </c>
      <c r="C401" s="8">
        <v>24944867</v>
      </c>
      <c r="D401" s="8">
        <f t="shared" si="39"/>
        <v>831495.56666666665</v>
      </c>
      <c r="E401" s="9">
        <v>78.258300000000006</v>
      </c>
      <c r="F401" s="2">
        <v>967</v>
      </c>
      <c r="G401" s="8">
        <v>1418029</v>
      </c>
      <c r="H401" s="12">
        <f t="shared" si="55"/>
        <v>1.0568465247780234</v>
      </c>
      <c r="I401" s="8">
        <v>23042454</v>
      </c>
      <c r="J401" s="8">
        <f t="shared" si="41"/>
        <v>768081.8</v>
      </c>
      <c r="K401" s="13">
        <f t="shared" si="53"/>
        <v>0.92373529191396375</v>
      </c>
      <c r="L401" s="2">
        <v>765</v>
      </c>
      <c r="M401" s="13">
        <f t="shared" si="54"/>
        <v>0.79110651499482942</v>
      </c>
      <c r="N401" s="27">
        <v>56187</v>
      </c>
      <c r="O401" s="23">
        <v>162231</v>
      </c>
      <c r="P401" s="8">
        <f t="shared" si="42"/>
        <v>5407.7</v>
      </c>
      <c r="Q401" s="9">
        <f t="shared" si="43"/>
        <v>153.41506863669704</v>
      </c>
      <c r="R401" s="8">
        <v>850000</v>
      </c>
      <c r="S401" s="4">
        <f t="shared" si="45"/>
        <v>-18504.433333333349</v>
      </c>
      <c r="T401" s="21">
        <f t="shared" si="49"/>
        <v>-36083.645000000026</v>
      </c>
      <c r="U401" s="16">
        <f t="shared" ref="U401:U409" si="56">U400+T401</f>
        <v>-46231.899999999921</v>
      </c>
      <c r="V401">
        <v>20263260</v>
      </c>
      <c r="W401" s="24">
        <f t="shared" si="52"/>
        <v>0.81232182957720322</v>
      </c>
      <c r="X401">
        <f t="shared" si="51"/>
        <v>675442</v>
      </c>
    </row>
    <row r="402" spans="1:28" x14ac:dyDescent="0.25">
      <c r="A402" s="3">
        <v>45413</v>
      </c>
      <c r="B402" s="2">
        <v>31</v>
      </c>
      <c r="C402" s="8">
        <v>25827435</v>
      </c>
      <c r="D402" s="8">
        <f t="shared" si="39"/>
        <v>833143.06451612909</v>
      </c>
      <c r="E402" s="9">
        <v>72.314499999999995</v>
      </c>
      <c r="F402" s="2">
        <v>965</v>
      </c>
      <c r="G402" s="8">
        <v>1354774</v>
      </c>
      <c r="H402" s="12">
        <f t="shared" si="55"/>
        <v>1.0524548411408257</v>
      </c>
      <c r="I402" s="8">
        <v>24021455</v>
      </c>
      <c r="J402" s="8">
        <f t="shared" si="41"/>
        <v>774885.6451612903</v>
      </c>
      <c r="K402" s="13">
        <f t="shared" si="53"/>
        <v>0.93007513134773157</v>
      </c>
      <c r="L402" s="2">
        <v>764</v>
      </c>
      <c r="M402" s="13">
        <f t="shared" si="54"/>
        <v>0.79170984455958548</v>
      </c>
      <c r="N402" s="27">
        <v>31236</v>
      </c>
      <c r="O402" s="23">
        <v>168272</v>
      </c>
      <c r="P402" s="8">
        <f t="shared" si="42"/>
        <v>5428.1290322580644</v>
      </c>
      <c r="Q402" s="9">
        <f t="shared" si="43"/>
        <v>153.3006025957973</v>
      </c>
      <c r="R402" s="8">
        <v>850000</v>
      </c>
      <c r="S402" s="4">
        <f t="shared" si="45"/>
        <v>-16856.935483870911</v>
      </c>
      <c r="T402" s="21">
        <f t="shared" si="49"/>
        <v>-33966.724999999882</v>
      </c>
      <c r="U402" s="16">
        <f t="shared" si="56"/>
        <v>-80198.624999999796</v>
      </c>
      <c r="V402">
        <v>21256600</v>
      </c>
      <c r="W402" s="24">
        <f t="shared" si="52"/>
        <v>0.82302404400591855</v>
      </c>
      <c r="X402">
        <f t="shared" si="51"/>
        <v>685696.77419354836</v>
      </c>
    </row>
    <row r="403" spans="1:28" x14ac:dyDescent="0.25">
      <c r="A403" s="3">
        <v>45444</v>
      </c>
      <c r="B403" s="2">
        <v>30</v>
      </c>
      <c r="C403" s="8">
        <v>23000642</v>
      </c>
      <c r="D403" s="8">
        <f t="shared" si="39"/>
        <v>766688.06666666665</v>
      </c>
      <c r="E403" s="9">
        <v>72.525000000000006</v>
      </c>
      <c r="F403" s="2">
        <v>964</v>
      </c>
      <c r="G403" s="8">
        <v>1842285</v>
      </c>
      <c r="H403" s="12">
        <f t="shared" si="55"/>
        <v>1.0800971120719152</v>
      </c>
      <c r="I403" s="8">
        <v>20719846</v>
      </c>
      <c r="J403" s="8">
        <f t="shared" si="41"/>
        <v>690661.53333333333</v>
      </c>
      <c r="K403" s="13">
        <f t="shared" si="53"/>
        <v>0.9008377244426482</v>
      </c>
      <c r="L403" s="2">
        <v>763</v>
      </c>
      <c r="M403" s="13">
        <f t="shared" si="54"/>
        <v>0.79149377593360992</v>
      </c>
      <c r="N403" s="27">
        <v>21777</v>
      </c>
      <c r="O403" s="23">
        <v>154271</v>
      </c>
      <c r="P403" s="8">
        <f t="shared" si="42"/>
        <v>5142.3666666666668</v>
      </c>
      <c r="Q403" s="9">
        <f t="shared" si="43"/>
        <v>148.95129350299149</v>
      </c>
      <c r="R403" s="8">
        <v>850000</v>
      </c>
      <c r="S403" s="4">
        <f t="shared" si="45"/>
        <v>-83311.933333333349</v>
      </c>
      <c r="T403" s="21">
        <f t="shared" si="49"/>
        <v>-162458.27000000005</v>
      </c>
      <c r="U403" s="16">
        <f t="shared" si="56"/>
        <v>-242656.89499999984</v>
      </c>
      <c r="V403">
        <v>17167283</v>
      </c>
      <c r="W403" s="24">
        <f t="shared" si="52"/>
        <v>0.74638277488080551</v>
      </c>
      <c r="X403">
        <f t="shared" si="51"/>
        <v>572242.76666666672</v>
      </c>
    </row>
    <row r="404" spans="1:28" x14ac:dyDescent="0.25">
      <c r="A404" s="3">
        <v>45474</v>
      </c>
      <c r="B404" s="2">
        <v>31</v>
      </c>
      <c r="C404" s="8">
        <v>25941025</v>
      </c>
      <c r="D404" s="8">
        <f t="shared" si="39"/>
        <v>836807.25806451612</v>
      </c>
      <c r="E404" s="9">
        <v>74.403199999999998</v>
      </c>
      <c r="F404" s="2">
        <v>964</v>
      </c>
      <c r="G404" s="8">
        <v>2487751</v>
      </c>
      <c r="H404" s="12">
        <f t="shared" si="55"/>
        <v>1.0959002583745245</v>
      </c>
      <c r="I404" s="8">
        <v>22962533</v>
      </c>
      <c r="J404" s="8">
        <f t="shared" si="41"/>
        <v>740726.87096774194</v>
      </c>
      <c r="K404" s="13">
        <f t="shared" si="53"/>
        <v>0.88518217765103735</v>
      </c>
      <c r="L404" s="2">
        <v>763</v>
      </c>
      <c r="M404" s="13">
        <f t="shared" si="54"/>
        <v>0.79149377593360992</v>
      </c>
      <c r="N404" s="27">
        <v>13320</v>
      </c>
      <c r="O404" s="23">
        <v>170603</v>
      </c>
      <c r="P404" s="8">
        <f t="shared" si="42"/>
        <v>5503.322580645161</v>
      </c>
      <c r="Q404" s="9">
        <f t="shared" si="43"/>
        <v>151.97684096997125</v>
      </c>
      <c r="R404" s="8">
        <v>850000</v>
      </c>
      <c r="S404" s="4">
        <f t="shared" si="45"/>
        <v>-13192.741935483878</v>
      </c>
      <c r="T404" s="21">
        <f t="shared" si="49"/>
        <v>-26583.375000000018</v>
      </c>
      <c r="U404" s="16">
        <f t="shared" si="56"/>
        <v>-269240.26999999984</v>
      </c>
      <c r="V404">
        <v>19176628</v>
      </c>
      <c r="W404" s="24">
        <f t="shared" si="52"/>
        <v>0.73923940939110921</v>
      </c>
      <c r="X404">
        <f t="shared" si="51"/>
        <v>618600.90322580643</v>
      </c>
    </row>
    <row r="405" spans="1:28" x14ac:dyDescent="0.25">
      <c r="A405" s="3">
        <v>45505</v>
      </c>
      <c r="B405" s="2">
        <v>31</v>
      </c>
      <c r="C405" s="8">
        <v>26951537</v>
      </c>
      <c r="D405" s="8">
        <f t="shared" si="39"/>
        <v>869404.41935483867</v>
      </c>
      <c r="E405" s="9">
        <v>69.112899999999996</v>
      </c>
      <c r="F405" s="2">
        <v>964</v>
      </c>
      <c r="G405" s="8">
        <v>1787912</v>
      </c>
      <c r="H405" s="12">
        <f t="shared" ref="H405:H428" si="57">(G405/C405)+1</f>
        <v>1.0663380348215392</v>
      </c>
      <c r="I405" s="8">
        <v>24641565</v>
      </c>
      <c r="J405" s="8">
        <f t="shared" si="41"/>
        <v>794889.19354838715</v>
      </c>
      <c r="K405" s="13">
        <f t="shared" si="53"/>
        <v>0.9142916413264297</v>
      </c>
      <c r="L405" s="2">
        <v>763</v>
      </c>
      <c r="M405" s="13">
        <f t="shared" si="54"/>
        <v>0.79149377593360992</v>
      </c>
      <c r="N405" s="27">
        <v>12908</v>
      </c>
      <c r="O405" s="23">
        <v>177431</v>
      </c>
      <c r="P405" s="8">
        <f t="shared" si="42"/>
        <v>5723.5806451612907</v>
      </c>
      <c r="Q405" s="9">
        <f t="shared" si="43"/>
        <v>151.82594360624691</v>
      </c>
      <c r="R405" s="8">
        <v>850000</v>
      </c>
      <c r="S405" s="4">
        <f t="shared" si="45"/>
        <v>19404.419354838668</v>
      </c>
      <c r="T405" s="21">
        <f t="shared" si="49"/>
        <v>39099.904999999919</v>
      </c>
      <c r="U405" s="16">
        <f t="shared" si="56"/>
        <v>-230140.36499999993</v>
      </c>
      <c r="V405">
        <v>20993544</v>
      </c>
      <c r="W405" s="24">
        <f t="shared" si="52"/>
        <v>0.77893680052458603</v>
      </c>
      <c r="X405">
        <f t="shared" si="51"/>
        <v>677211.09677419357</v>
      </c>
      <c r="Y405">
        <f t="shared" ref="Y405:Y411" si="58">X405-$Y$390</f>
        <v>-15538.903225806425</v>
      </c>
      <c r="Z405">
        <f t="shared" ref="Z405:Z411" si="59">Y405*B405*0.03</f>
        <v>-14451.179999999975</v>
      </c>
    </row>
    <row r="406" spans="1:28" x14ac:dyDescent="0.25">
      <c r="A406" s="3">
        <v>45536</v>
      </c>
      <c r="B406" s="2">
        <v>30</v>
      </c>
      <c r="C406" s="8">
        <v>26340594</v>
      </c>
      <c r="D406" s="8">
        <f t="shared" ref="D406:D428" si="60">+C406/B406</f>
        <v>878019.8</v>
      </c>
      <c r="E406" s="9">
        <v>63.333300000000001</v>
      </c>
      <c r="F406" s="2">
        <v>962</v>
      </c>
      <c r="G406" s="8">
        <v>912346</v>
      </c>
      <c r="H406" s="12">
        <f t="shared" si="57"/>
        <v>1.0346365006043523</v>
      </c>
      <c r="I406" s="8">
        <v>24905324</v>
      </c>
      <c r="J406" s="8">
        <f t="shared" ref="J406:J428" si="61">+I406/B406</f>
        <v>830177.46666666667</v>
      </c>
      <c r="K406" s="13">
        <f t="shared" si="53"/>
        <v>0.94551109971172254</v>
      </c>
      <c r="L406" s="2">
        <v>761</v>
      </c>
      <c r="M406" s="13">
        <f t="shared" si="54"/>
        <v>0.79106029106029108</v>
      </c>
      <c r="N406" s="27">
        <v>11087</v>
      </c>
      <c r="O406" s="23">
        <v>173991</v>
      </c>
      <c r="P406" s="8">
        <f t="shared" si="42"/>
        <v>5799.7</v>
      </c>
      <c r="Q406" s="9">
        <f t="shared" si="43"/>
        <v>151.32683299710905</v>
      </c>
      <c r="R406" s="8">
        <v>850000</v>
      </c>
      <c r="S406" s="4">
        <f t="shared" si="45"/>
        <v>28019.800000000047</v>
      </c>
      <c r="T406" s="21">
        <f t="shared" si="49"/>
        <v>54638.610000000088</v>
      </c>
      <c r="U406" s="16">
        <f t="shared" si="56"/>
        <v>-175501.75499999983</v>
      </c>
      <c r="V406">
        <v>20795111</v>
      </c>
      <c r="W406" s="24">
        <f t="shared" si="52"/>
        <v>0.78947008560247356</v>
      </c>
      <c r="X406">
        <f t="shared" si="51"/>
        <v>693170.3666666667</v>
      </c>
      <c r="Y406">
        <f t="shared" si="58"/>
        <v>420.36666666669771</v>
      </c>
      <c r="Z406">
        <f t="shared" si="59"/>
        <v>378.33000000002795</v>
      </c>
    </row>
    <row r="407" spans="1:28" x14ac:dyDescent="0.25">
      <c r="A407" s="3">
        <v>45566</v>
      </c>
      <c r="B407" s="2">
        <v>31</v>
      </c>
      <c r="C407" s="8">
        <v>27658375</v>
      </c>
      <c r="D407" s="8">
        <f t="shared" si="60"/>
        <v>892205.6451612903</v>
      </c>
      <c r="E407" s="9">
        <v>65.596800000000002</v>
      </c>
      <c r="F407" s="2">
        <v>963</v>
      </c>
      <c r="G407" s="8">
        <v>1901072</v>
      </c>
      <c r="H407" s="12">
        <f t="shared" si="57"/>
        <v>1.0687340452936949</v>
      </c>
      <c r="I407" s="8">
        <v>25216325</v>
      </c>
      <c r="J407" s="8">
        <f t="shared" si="61"/>
        <v>813429.83870967745</v>
      </c>
      <c r="K407" s="13">
        <f t="shared" si="53"/>
        <v>0.91170667112583437</v>
      </c>
      <c r="L407" s="2">
        <v>762</v>
      </c>
      <c r="M407" s="13">
        <f t="shared" si="54"/>
        <v>0.79127725856697817</v>
      </c>
      <c r="N407" s="27">
        <v>80530</v>
      </c>
      <c r="O407" s="23">
        <v>182165</v>
      </c>
      <c r="P407" s="8">
        <f t="shared" si="42"/>
        <v>5876.2903225806449</v>
      </c>
      <c r="Q407" s="9">
        <f t="shared" si="43"/>
        <v>151.3893722723904</v>
      </c>
      <c r="R407" s="8">
        <v>850000</v>
      </c>
      <c r="S407" s="4">
        <f t="shared" si="45"/>
        <v>42205.645161290304</v>
      </c>
      <c r="T407" s="21">
        <f t="shared" si="49"/>
        <v>85044.374999999971</v>
      </c>
      <c r="U407" s="16">
        <f t="shared" si="56"/>
        <v>-90457.379999999859</v>
      </c>
      <c r="V407">
        <v>21528888</v>
      </c>
      <c r="W407" s="24">
        <f t="shared" si="52"/>
        <v>0.77838585961756612</v>
      </c>
      <c r="X407">
        <f t="shared" si="51"/>
        <v>694480.25806451612</v>
      </c>
      <c r="Y407">
        <f t="shared" si="58"/>
        <v>1730.2580645161215</v>
      </c>
      <c r="Z407">
        <f t="shared" si="59"/>
        <v>1609.1399999999931</v>
      </c>
    </row>
    <row r="408" spans="1:28" x14ac:dyDescent="0.25">
      <c r="A408" s="3">
        <v>45597</v>
      </c>
      <c r="B408" s="2">
        <v>30</v>
      </c>
      <c r="C408" s="8">
        <v>27021426</v>
      </c>
      <c r="D408" s="8">
        <f t="shared" si="60"/>
        <v>900714.2</v>
      </c>
      <c r="E408" s="9">
        <v>63.191699999999997</v>
      </c>
      <c r="F408" s="2">
        <v>962</v>
      </c>
      <c r="G408" s="8">
        <v>1101301</v>
      </c>
      <c r="H408" s="12">
        <f t="shared" si="57"/>
        <v>1.0407565833128125</v>
      </c>
      <c r="I408" s="8">
        <v>25375206</v>
      </c>
      <c r="J408" s="8">
        <f t="shared" si="61"/>
        <v>845840.2</v>
      </c>
      <c r="K408" s="13">
        <f t="shared" si="53"/>
        <v>0.9390772344879208</v>
      </c>
      <c r="L408" s="2">
        <v>762</v>
      </c>
      <c r="M408" s="13">
        <f t="shared" si="54"/>
        <v>0.79209979209979209</v>
      </c>
      <c r="N408" s="27">
        <v>177322</v>
      </c>
      <c r="O408" s="23">
        <v>176646</v>
      </c>
      <c r="P408" s="8">
        <f t="shared" si="42"/>
        <v>5888.2</v>
      </c>
      <c r="Q408" s="9">
        <f t="shared" si="43"/>
        <v>151.96553559095594</v>
      </c>
      <c r="R408" s="8">
        <v>850000</v>
      </c>
      <c r="S408" s="4">
        <f t="shared" si="45"/>
        <v>50714.199999999953</v>
      </c>
      <c r="T408" s="21">
        <f t="shared" si="49"/>
        <v>98892.689999999915</v>
      </c>
      <c r="U408" s="16">
        <f t="shared" si="56"/>
        <v>8435.3100000000559</v>
      </c>
      <c r="V408">
        <v>21662722</v>
      </c>
      <c r="W408" s="24">
        <f t="shared" si="52"/>
        <v>0.8016868539802452</v>
      </c>
      <c r="X408">
        <f t="shared" si="51"/>
        <v>722090.73333333328</v>
      </c>
      <c r="Y408">
        <f t="shared" si="58"/>
        <v>29340.733333333279</v>
      </c>
      <c r="Z408">
        <f t="shared" si="59"/>
        <v>26406.659999999949</v>
      </c>
      <c r="AA408">
        <v>22483915</v>
      </c>
      <c r="AB408" s="28">
        <f>AA408/C408</f>
        <v>0.83207729303405376</v>
      </c>
    </row>
    <row r="409" spans="1:28" x14ac:dyDescent="0.25">
      <c r="A409" s="3">
        <v>45627</v>
      </c>
      <c r="B409" s="2">
        <v>31</v>
      </c>
      <c r="C409" s="8">
        <v>27465950</v>
      </c>
      <c r="D409" s="8">
        <f t="shared" si="60"/>
        <v>885998.38709677418</v>
      </c>
      <c r="E409" s="9">
        <v>63.378999999999998</v>
      </c>
      <c r="F409" s="2">
        <v>962</v>
      </c>
      <c r="G409" s="8">
        <v>2104576</v>
      </c>
      <c r="H409" s="12">
        <f t="shared" si="57"/>
        <v>1.0766249119364157</v>
      </c>
      <c r="I409" s="8">
        <v>24747365</v>
      </c>
      <c r="J409" s="8">
        <f t="shared" si="61"/>
        <v>798302.09677419357</v>
      </c>
      <c r="K409" s="13">
        <f t="shared" si="53"/>
        <v>0.90101980816247029</v>
      </c>
      <c r="L409" s="2">
        <v>762</v>
      </c>
      <c r="M409" s="13">
        <f t="shared" si="54"/>
        <v>0.79209979209979209</v>
      </c>
      <c r="N409" s="27">
        <v>112186</v>
      </c>
      <c r="O409" s="23">
        <v>179990</v>
      </c>
      <c r="P409" s="8">
        <f t="shared" si="42"/>
        <v>5806.1290322580644</v>
      </c>
      <c r="Q409" s="9">
        <f t="shared" si="43"/>
        <v>151.97379854436358</v>
      </c>
      <c r="R409" s="8">
        <v>850000</v>
      </c>
      <c r="S409" s="4">
        <f t="shared" si="45"/>
        <v>35998.387096774182</v>
      </c>
      <c r="T409" s="21">
        <f t="shared" si="49"/>
        <v>72536.749999999985</v>
      </c>
      <c r="U409" s="16">
        <f t="shared" si="56"/>
        <v>80972.060000000041</v>
      </c>
      <c r="V409">
        <v>21054208</v>
      </c>
      <c r="W409" s="24">
        <f t="shared" si="52"/>
        <v>0.76655670020516309</v>
      </c>
      <c r="X409">
        <f t="shared" si="51"/>
        <v>679168</v>
      </c>
      <c r="Y409">
        <f t="shared" si="58"/>
        <v>-13582</v>
      </c>
      <c r="Z409">
        <f t="shared" si="59"/>
        <v>-12631.26</v>
      </c>
      <c r="AA409">
        <v>22701857</v>
      </c>
      <c r="AB409" s="28">
        <f>AA409/C409</f>
        <v>0.82654548632033487</v>
      </c>
    </row>
    <row r="410" spans="1:28" x14ac:dyDescent="0.25">
      <c r="A410" s="3">
        <v>45658</v>
      </c>
      <c r="B410" s="2">
        <v>31</v>
      </c>
      <c r="C410" s="8">
        <v>27314244</v>
      </c>
      <c r="D410" s="8">
        <f t="shared" si="60"/>
        <v>881104.6451612903</v>
      </c>
      <c r="E410" s="9">
        <v>68.983900000000006</v>
      </c>
      <c r="F410" s="2">
        <v>962</v>
      </c>
      <c r="G410" s="8">
        <v>1648403</v>
      </c>
      <c r="H410" s="12">
        <f t="shared" si="57"/>
        <v>1.0603495743832412</v>
      </c>
      <c r="I410" s="8">
        <v>25056104</v>
      </c>
      <c r="J410" s="8">
        <f t="shared" si="61"/>
        <v>808261.41935483867</v>
      </c>
      <c r="K410" s="13">
        <f t="shared" si="53"/>
        <v>0.91732738420290894</v>
      </c>
      <c r="L410" s="2">
        <v>760</v>
      </c>
      <c r="M410" s="13">
        <f t="shared" si="54"/>
        <v>0.79002079002079006</v>
      </c>
      <c r="N410" s="27">
        <v>105605</v>
      </c>
      <c r="O410" s="23">
        <v>178104</v>
      </c>
      <c r="P410" s="8">
        <f t="shared" ref="P410:P425" si="62">+O410/B410</f>
        <v>5745.2903225806449</v>
      </c>
      <c r="Q410" s="9">
        <f t="shared" ref="Q410:Q425" si="63">+(D410-(N410/B410))/P410</f>
        <v>152.76826460944167</v>
      </c>
      <c r="R410" s="8">
        <v>850000</v>
      </c>
      <c r="S410" s="4">
        <f t="shared" si="45"/>
        <v>31104.645161290304</v>
      </c>
      <c r="T410" s="21">
        <f t="shared" si="49"/>
        <v>62675.859999999964</v>
      </c>
      <c r="U410" s="16">
        <f>T410</f>
        <v>62675.859999999964</v>
      </c>
      <c r="V410">
        <v>21261844</v>
      </c>
      <c r="W410" s="24">
        <f t="shared" si="52"/>
        <v>0.77841597958925757</v>
      </c>
      <c r="X410">
        <f t="shared" si="51"/>
        <v>685865.93548387091</v>
      </c>
      <c r="Y410">
        <f t="shared" si="58"/>
        <v>-6884.0645161290886</v>
      </c>
      <c r="Z410">
        <f t="shared" si="59"/>
        <v>-6402.1800000000521</v>
      </c>
      <c r="AA410">
        <v>22525334</v>
      </c>
      <c r="AB410" s="28">
        <f t="shared" ref="AB410:AB428" si="64">AA410/C410</f>
        <v>0.82467352931313054</v>
      </c>
    </row>
    <row r="411" spans="1:28" x14ac:dyDescent="0.25">
      <c r="A411" s="3">
        <v>45689</v>
      </c>
      <c r="B411" s="2">
        <v>28</v>
      </c>
      <c r="C411" s="8">
        <v>24728085</v>
      </c>
      <c r="D411" s="8">
        <f t="shared" si="60"/>
        <v>883145.89285714284</v>
      </c>
      <c r="E411" s="9">
        <v>64.919600000000003</v>
      </c>
      <c r="F411" s="2">
        <v>963</v>
      </c>
      <c r="G411" s="8">
        <v>1031877</v>
      </c>
      <c r="H411" s="12">
        <f t="shared" si="57"/>
        <v>1.0417289490876467</v>
      </c>
      <c r="I411" s="8">
        <v>23115649</v>
      </c>
      <c r="J411" s="8">
        <f t="shared" si="61"/>
        <v>825558.89285714284</v>
      </c>
      <c r="K411" s="13">
        <f t="shared" si="53"/>
        <v>0.93479333316752999</v>
      </c>
      <c r="L411" s="2">
        <v>760</v>
      </c>
      <c r="M411" s="13">
        <f t="shared" si="54"/>
        <v>0.78920041536863972</v>
      </c>
      <c r="N411" s="27">
        <v>70132</v>
      </c>
      <c r="O411" s="23">
        <v>162604</v>
      </c>
      <c r="P411" s="8">
        <f t="shared" si="62"/>
        <v>5807.2857142857147</v>
      </c>
      <c r="Q411" s="9">
        <f t="shared" si="63"/>
        <v>151.6441969447246</v>
      </c>
      <c r="R411" s="8">
        <v>850000</v>
      </c>
      <c r="S411" s="4">
        <f t="shared" si="45"/>
        <v>33145.892857142841</v>
      </c>
      <c r="T411" s="21">
        <f t="shared" si="49"/>
        <v>60325.524999999965</v>
      </c>
      <c r="U411" s="16">
        <f>U410+T411</f>
        <v>123001.38499999992</v>
      </c>
      <c r="V411">
        <v>19619435</v>
      </c>
      <c r="W411" s="24">
        <f t="shared" si="52"/>
        <v>0.79340697025264995</v>
      </c>
      <c r="X411">
        <f t="shared" si="51"/>
        <v>700694.10714285716</v>
      </c>
      <c r="Y411">
        <f t="shared" si="58"/>
        <v>7944.1071428571595</v>
      </c>
      <c r="Z411">
        <f t="shared" si="59"/>
        <v>6673.0500000000138</v>
      </c>
      <c r="AA411">
        <v>20378468</v>
      </c>
      <c r="AB411" s="28">
        <f t="shared" si="64"/>
        <v>0.82410214943858373</v>
      </c>
    </row>
    <row r="412" spans="1:28" x14ac:dyDescent="0.25">
      <c r="A412" s="3">
        <v>45717</v>
      </c>
      <c r="B412" s="2">
        <v>31</v>
      </c>
      <c r="C412" s="8">
        <v>26099791</v>
      </c>
      <c r="D412" s="8">
        <f t="shared" si="60"/>
        <v>841928.74193548388</v>
      </c>
      <c r="E412" s="9">
        <v>61.790300000000002</v>
      </c>
      <c r="F412" s="2">
        <v>961</v>
      </c>
      <c r="G412" s="8">
        <v>1169053</v>
      </c>
      <c r="H412" s="12">
        <f t="shared" si="57"/>
        <v>1.0447916613585144</v>
      </c>
      <c r="I412" s="8">
        <v>24363187</v>
      </c>
      <c r="J412" s="8">
        <f t="shared" si="61"/>
        <v>785909.25806451612</v>
      </c>
      <c r="K412" s="13">
        <f t="shared" si="53"/>
        <v>0.93346291546932314</v>
      </c>
      <c r="L412" s="2">
        <v>760</v>
      </c>
      <c r="M412" s="13">
        <f t="shared" si="54"/>
        <v>0.7908428720083247</v>
      </c>
      <c r="N412" s="27">
        <v>76172</v>
      </c>
      <c r="O412" s="23">
        <v>169709</v>
      </c>
      <c r="P412" s="8">
        <f t="shared" si="62"/>
        <v>5474.4838709677415</v>
      </c>
      <c r="Q412" s="9">
        <f t="shared" si="63"/>
        <v>153.3425982122339</v>
      </c>
      <c r="R412" s="8">
        <v>850000</v>
      </c>
      <c r="S412" s="4">
        <f t="shared" si="45"/>
        <v>-8071.2580645161215</v>
      </c>
      <c r="T412" s="21">
        <f t="shared" si="49"/>
        <v>-16263.584999999986</v>
      </c>
      <c r="U412" s="16">
        <f>U411+T412</f>
        <v>106737.79999999993</v>
      </c>
      <c r="V412">
        <v>20701961</v>
      </c>
      <c r="W412" s="24">
        <f t="shared" si="52"/>
        <v>0.79318493393299583</v>
      </c>
      <c r="X412">
        <f t="shared" si="51"/>
        <v>667805.19354838715</v>
      </c>
      <c r="AA412">
        <v>21575362</v>
      </c>
      <c r="AB412" s="28">
        <f t="shared" si="64"/>
        <v>0.82664884174743003</v>
      </c>
    </row>
    <row r="413" spans="1:28" x14ac:dyDescent="0.25">
      <c r="A413" s="3">
        <v>45748</v>
      </c>
      <c r="B413" s="2">
        <v>30</v>
      </c>
      <c r="C413" s="8">
        <v>26552712</v>
      </c>
      <c r="D413" s="8">
        <f t="shared" si="60"/>
        <v>885090.4</v>
      </c>
      <c r="E413" s="9">
        <v>56.691699999999997</v>
      </c>
      <c r="F413" s="2">
        <v>957</v>
      </c>
      <c r="G413" s="8">
        <v>1032335</v>
      </c>
      <c r="H413" s="12">
        <f t="shared" si="57"/>
        <v>1.0388787028609356</v>
      </c>
      <c r="I413" s="8">
        <v>24932306</v>
      </c>
      <c r="J413" s="8">
        <f t="shared" si="61"/>
        <v>831076.8666666667</v>
      </c>
      <c r="K413" s="13">
        <f t="shared" si="53"/>
        <v>0.93897399256241698</v>
      </c>
      <c r="L413" s="2">
        <v>758</v>
      </c>
      <c r="M413" s="13">
        <f t="shared" si="54"/>
        <v>0.79205851619644718</v>
      </c>
      <c r="N413" s="27">
        <v>65174</v>
      </c>
      <c r="O413" s="23">
        <v>172771</v>
      </c>
      <c r="P413" s="8">
        <f t="shared" si="62"/>
        <v>5759.0333333333338</v>
      </c>
      <c r="Q413" s="9">
        <f t="shared" si="63"/>
        <v>153.31009255025438</v>
      </c>
      <c r="R413" s="8">
        <v>850000</v>
      </c>
      <c r="S413" s="4">
        <f t="shared" si="45"/>
        <v>35090.400000000023</v>
      </c>
      <c r="T413" s="21">
        <f t="shared" si="49"/>
        <v>68426.280000000042</v>
      </c>
      <c r="U413" s="16">
        <f t="shared" ref="U413:U421" si="65">U412+T413</f>
        <v>175164.07999999996</v>
      </c>
      <c r="V413">
        <v>21182098</v>
      </c>
      <c r="W413" s="24">
        <f t="shared" ref="W413:W428" si="66">V413/C413</f>
        <v>0.79773764728815644</v>
      </c>
      <c r="X413">
        <f t="shared" si="51"/>
        <v>706069.93333333335</v>
      </c>
      <c r="Y413">
        <f t="shared" ref="Y413:Y428" si="67">X413-$Y$390</f>
        <v>13319.933333333349</v>
      </c>
      <c r="Z413">
        <f t="shared" ref="Z413:Z428" si="68">Y413*B413*0.03</f>
        <v>11987.940000000013</v>
      </c>
      <c r="AA413">
        <v>22022132</v>
      </c>
      <c r="AB413" s="28">
        <f t="shared" si="64"/>
        <v>0.82937411440307862</v>
      </c>
    </row>
    <row r="414" spans="1:28" x14ac:dyDescent="0.25">
      <c r="A414" s="3">
        <v>45778</v>
      </c>
      <c r="B414" s="2">
        <v>31</v>
      </c>
      <c r="C414" s="8">
        <v>27485600</v>
      </c>
      <c r="D414" s="8">
        <f t="shared" si="60"/>
        <v>886632.25806451612</v>
      </c>
      <c r="E414" s="9">
        <v>54.661299999999997</v>
      </c>
      <c r="F414" s="2">
        <v>961</v>
      </c>
      <c r="G414" s="8">
        <v>1807583</v>
      </c>
      <c r="H414" s="12">
        <f t="shared" si="57"/>
        <v>1.0657647277119655</v>
      </c>
      <c r="I414" s="8">
        <v>25099897</v>
      </c>
      <c r="J414" s="8">
        <f t="shared" si="61"/>
        <v>809674.09677419357</v>
      </c>
      <c r="K414" s="13">
        <f t="shared" si="53"/>
        <v>0.91320171289693508</v>
      </c>
      <c r="L414" s="2">
        <v>758</v>
      </c>
      <c r="M414" s="13">
        <f t="shared" si="54"/>
        <v>0.78876170655567113</v>
      </c>
      <c r="N414" s="27">
        <v>66250</v>
      </c>
      <c r="O414" s="23">
        <v>174665</v>
      </c>
      <c r="P414" s="8">
        <f t="shared" si="62"/>
        <v>5634.3548387096771</v>
      </c>
      <c r="Q414" s="9">
        <f t="shared" si="63"/>
        <v>156.98250937508945</v>
      </c>
      <c r="R414" s="8">
        <v>850000</v>
      </c>
      <c r="S414" s="4">
        <f t="shared" si="45"/>
        <v>36632.258064516122</v>
      </c>
      <c r="T414" s="21">
        <f t="shared" si="49"/>
        <v>73813.999999999985</v>
      </c>
      <c r="U414" s="16">
        <f t="shared" si="65"/>
        <v>248978.07999999996</v>
      </c>
      <c r="V414">
        <v>21312585</v>
      </c>
      <c r="W414" s="24">
        <f t="shared" si="66"/>
        <v>0.77540912332275813</v>
      </c>
      <c r="X414">
        <f t="shared" si="51"/>
        <v>687502.74193548388</v>
      </c>
      <c r="Y414">
        <f t="shared" si="67"/>
        <v>-5247.2580645161215</v>
      </c>
      <c r="Z414">
        <f t="shared" si="68"/>
        <v>-4879.9499999999925</v>
      </c>
      <c r="AA414">
        <v>22812421</v>
      </c>
      <c r="AB414" s="28">
        <f t="shared" si="64"/>
        <v>0.829977188054836</v>
      </c>
    </row>
    <row r="415" spans="1:28" x14ac:dyDescent="0.25">
      <c r="A415" s="3">
        <v>45809</v>
      </c>
      <c r="B415" s="2">
        <v>30</v>
      </c>
      <c r="C415" s="8">
        <v>26281275</v>
      </c>
      <c r="D415" s="8">
        <f t="shared" si="60"/>
        <v>876042.5</v>
      </c>
      <c r="E415" s="9">
        <v>61.674999999999997</v>
      </c>
      <c r="F415" s="2">
        <v>961</v>
      </c>
      <c r="G415" s="8">
        <v>1764487</v>
      </c>
      <c r="H415" s="12">
        <f t="shared" si="57"/>
        <v>1.0671385615804407</v>
      </c>
      <c r="I415" s="8">
        <v>23989592</v>
      </c>
      <c r="J415" s="8">
        <f t="shared" si="61"/>
        <v>799653.06666666665</v>
      </c>
      <c r="K415" s="13">
        <f t="shared" si="53"/>
        <v>0.91280168104477433</v>
      </c>
      <c r="L415" s="2">
        <v>757</v>
      </c>
      <c r="M415" s="13">
        <f t="shared" si="54"/>
        <v>0.78772112382934445</v>
      </c>
      <c r="N415" s="27">
        <v>57112</v>
      </c>
      <c r="O415" s="23">
        <v>168251</v>
      </c>
      <c r="P415" s="8">
        <f t="shared" si="62"/>
        <v>5608.3666666666668</v>
      </c>
      <c r="Q415" s="9">
        <f t="shared" si="63"/>
        <v>155.86334107969643</v>
      </c>
      <c r="R415" s="8">
        <v>850000</v>
      </c>
      <c r="S415" s="4">
        <f t="shared" si="45"/>
        <v>26042.5</v>
      </c>
      <c r="T415" s="21">
        <f t="shared" si="49"/>
        <v>50782.875</v>
      </c>
      <c r="U415" s="16">
        <f t="shared" si="65"/>
        <v>299760.95499999996</v>
      </c>
      <c r="V415">
        <v>20444329</v>
      </c>
      <c r="W415" s="24">
        <f t="shared" si="66"/>
        <v>0.77790476299190203</v>
      </c>
      <c r="X415">
        <f t="shared" si="51"/>
        <v>681477.6333333333</v>
      </c>
      <c r="Y415">
        <f t="shared" si="67"/>
        <v>-11272.366666666698</v>
      </c>
      <c r="Z415">
        <f t="shared" si="68"/>
        <v>-10145.130000000028</v>
      </c>
      <c r="AA415">
        <v>21880475</v>
      </c>
      <c r="AB415" s="28">
        <f t="shared" si="64"/>
        <v>0.83254998092748544</v>
      </c>
    </row>
    <row r="416" spans="1:28" x14ac:dyDescent="0.25">
      <c r="A416" s="3">
        <v>45839</v>
      </c>
      <c r="B416" s="2">
        <v>31</v>
      </c>
      <c r="C416" s="8">
        <v>27179970</v>
      </c>
      <c r="D416" s="8">
        <f t="shared" si="60"/>
        <v>876773.22580645164</v>
      </c>
      <c r="E416" s="9">
        <v>60.862900000000003</v>
      </c>
      <c r="F416" s="2">
        <v>961</v>
      </c>
      <c r="G416" s="8">
        <v>1832802</v>
      </c>
      <c r="H416" s="12">
        <f t="shared" si="57"/>
        <v>1.0674320832583701</v>
      </c>
      <c r="I416" s="8">
        <v>24815516</v>
      </c>
      <c r="J416" s="8">
        <f t="shared" si="61"/>
        <v>800500.51612903224</v>
      </c>
      <c r="K416" s="13">
        <f t="shared" si="53"/>
        <v>0.91300748308405055</v>
      </c>
      <c r="L416" s="2">
        <v>757</v>
      </c>
      <c r="M416" s="13">
        <f t="shared" si="54"/>
        <v>0.78772112382934445</v>
      </c>
      <c r="N416" s="27">
        <v>53723</v>
      </c>
      <c r="O416" s="23">
        <v>173220</v>
      </c>
      <c r="P416" s="8">
        <f t="shared" si="62"/>
        <v>5587.7419354838712</v>
      </c>
      <c r="Q416" s="9">
        <f t="shared" si="63"/>
        <v>156.59997113497286</v>
      </c>
      <c r="R416" s="8">
        <v>850000</v>
      </c>
      <c r="S416" s="4">
        <f t="shared" si="45"/>
        <v>26773.225806451635</v>
      </c>
      <c r="T416" s="21">
        <f t="shared" si="49"/>
        <v>53948.050000000047</v>
      </c>
      <c r="U416" s="16">
        <f t="shared" si="65"/>
        <v>353709.005</v>
      </c>
      <c r="V416">
        <v>21308995</v>
      </c>
      <c r="W416" s="24">
        <f t="shared" si="66"/>
        <v>0.78399626636821163</v>
      </c>
      <c r="X416">
        <f t="shared" si="51"/>
        <v>687386.93548387091</v>
      </c>
      <c r="Y416">
        <f t="shared" si="67"/>
        <v>-5363.0645161290886</v>
      </c>
      <c r="Z416">
        <f t="shared" si="68"/>
        <v>-4987.6500000000524</v>
      </c>
      <c r="AA416">
        <v>22667265</v>
      </c>
      <c r="AB416" s="28">
        <f t="shared" si="64"/>
        <v>0.83396946354245427</v>
      </c>
    </row>
    <row r="417" spans="1:28" x14ac:dyDescent="0.25">
      <c r="A417" s="3">
        <v>45870</v>
      </c>
      <c r="B417" s="2">
        <v>31</v>
      </c>
      <c r="C417" s="8">
        <v>27139601</v>
      </c>
      <c r="D417" s="8">
        <f t="shared" si="60"/>
        <v>875471</v>
      </c>
      <c r="E417" s="9">
        <v>57.862900000000003</v>
      </c>
      <c r="F417" s="2">
        <v>957</v>
      </c>
      <c r="G417" s="8">
        <v>1455217</v>
      </c>
      <c r="H417" s="12">
        <f t="shared" si="57"/>
        <v>1.0536196902821084</v>
      </c>
      <c r="I417" s="8">
        <v>25143105</v>
      </c>
      <c r="J417" s="8">
        <f t="shared" si="61"/>
        <v>811067.90322580643</v>
      </c>
      <c r="K417" s="13">
        <f t="shared" si="53"/>
        <v>0.92643605924788652</v>
      </c>
      <c r="L417" s="2">
        <v>753</v>
      </c>
      <c r="M417" s="13">
        <f t="shared" si="54"/>
        <v>0.78683385579937304</v>
      </c>
      <c r="N417" s="27">
        <v>44220</v>
      </c>
      <c r="O417" s="23">
        <v>172929</v>
      </c>
      <c r="P417" s="8">
        <f t="shared" si="62"/>
        <v>5578.3548387096771</v>
      </c>
      <c r="Q417" s="9">
        <f t="shared" si="63"/>
        <v>156.68500367202725</v>
      </c>
      <c r="R417" s="8">
        <v>850000</v>
      </c>
      <c r="S417" s="4">
        <f t="shared" si="45"/>
        <v>25471</v>
      </c>
      <c r="T417" s="21">
        <f t="shared" si="49"/>
        <v>51324.065000000002</v>
      </c>
      <c r="U417" s="16">
        <f t="shared" si="65"/>
        <v>405033.07</v>
      </c>
      <c r="V417">
        <v>21545332</v>
      </c>
      <c r="W417" s="24">
        <f t="shared" si="66"/>
        <v>0.79387062470078318</v>
      </c>
      <c r="X417">
        <f t="shared" si="51"/>
        <v>695010.70967741939</v>
      </c>
      <c r="Y417">
        <f t="shared" si="67"/>
        <v>2260.7096774193924</v>
      </c>
      <c r="Z417">
        <f t="shared" si="68"/>
        <v>2102.4600000000351</v>
      </c>
      <c r="AA417">
        <v>22669951</v>
      </c>
      <c r="AB417" s="28">
        <f t="shared" si="64"/>
        <v>0.83530892734937412</v>
      </c>
    </row>
    <row r="418" spans="1:28" x14ac:dyDescent="0.25">
      <c r="A418" s="3">
        <v>45901</v>
      </c>
      <c r="B418" s="2">
        <v>30</v>
      </c>
      <c r="C418" s="8">
        <v>26707149</v>
      </c>
      <c r="D418" s="8">
        <f t="shared" si="60"/>
        <v>890238.3</v>
      </c>
      <c r="E418" s="9">
        <v>57.208300000000001</v>
      </c>
      <c r="F418" s="2">
        <v>961</v>
      </c>
      <c r="G418" s="8">
        <v>1774439</v>
      </c>
      <c r="H418" s="12">
        <f t="shared" si="57"/>
        <v>1.0664405998558664</v>
      </c>
      <c r="I418" s="8">
        <v>24378602</v>
      </c>
      <c r="J418" s="8">
        <f t="shared" si="61"/>
        <v>812620.06666666665</v>
      </c>
      <c r="K418" s="13">
        <f t="shared" si="53"/>
        <v>0.91281184674560356</v>
      </c>
      <c r="L418" s="2">
        <v>752</v>
      </c>
      <c r="M418" s="13">
        <f t="shared" si="54"/>
        <v>0.78251821019771073</v>
      </c>
      <c r="N418" s="27">
        <v>53280</v>
      </c>
      <c r="O418" s="23">
        <v>167387</v>
      </c>
      <c r="P418" s="8">
        <f t="shared" si="62"/>
        <v>5579.5666666666666</v>
      </c>
      <c r="Q418" s="9">
        <f t="shared" si="63"/>
        <v>159.2350003285799</v>
      </c>
      <c r="R418" s="8">
        <v>850000</v>
      </c>
      <c r="S418" s="4">
        <f t="shared" si="45"/>
        <v>40238.300000000047</v>
      </c>
      <c r="T418" s="21">
        <f t="shared" si="49"/>
        <v>78464.6850000001</v>
      </c>
      <c r="U418" s="16">
        <f t="shared" si="65"/>
        <v>483497.75500000012</v>
      </c>
      <c r="V418">
        <v>20479276</v>
      </c>
      <c r="W418" s="24">
        <f t="shared" si="66"/>
        <v>0.76680876719562996</v>
      </c>
      <c r="X418">
        <f t="shared" si="51"/>
        <v>682642.53333333333</v>
      </c>
      <c r="Y418">
        <f t="shared" si="67"/>
        <v>-10107.466666666674</v>
      </c>
      <c r="Z418">
        <f t="shared" si="68"/>
        <v>-9096.7200000000066</v>
      </c>
      <c r="AA418">
        <v>22125868</v>
      </c>
      <c r="AB418" s="28">
        <f t="shared" si="64"/>
        <v>0.82846237162940906</v>
      </c>
    </row>
    <row r="419" spans="1:28" x14ac:dyDescent="0.25">
      <c r="A419" s="3">
        <v>45931</v>
      </c>
      <c r="B419" s="2">
        <v>31</v>
      </c>
      <c r="C419" s="8">
        <v>27562459</v>
      </c>
      <c r="D419" s="8">
        <f t="shared" si="60"/>
        <v>889111.58064516133</v>
      </c>
      <c r="E419" s="9">
        <v>53.709699999999998</v>
      </c>
      <c r="F419" s="2">
        <v>961</v>
      </c>
      <c r="G419" s="8">
        <v>1828783</v>
      </c>
      <c r="H419" s="12">
        <f t="shared" si="57"/>
        <v>1.0663505023263709</v>
      </c>
      <c r="I419" s="8">
        <v>25186938</v>
      </c>
      <c r="J419" s="8">
        <f t="shared" si="61"/>
        <v>812481.87096774194</v>
      </c>
      <c r="K419" s="13">
        <f t="shared" si="53"/>
        <v>0.91381316884679997</v>
      </c>
      <c r="L419" s="2">
        <v>752</v>
      </c>
      <c r="M419" s="13">
        <f t="shared" si="54"/>
        <v>0.78251821019771073</v>
      </c>
      <c r="N419" s="27">
        <v>387271</v>
      </c>
      <c r="O419" s="23">
        <v>170245</v>
      </c>
      <c r="P419" s="8">
        <f t="shared" si="62"/>
        <v>5491.7741935483873</v>
      </c>
      <c r="Q419" s="9">
        <f t="shared" si="63"/>
        <v>159.62400070486652</v>
      </c>
      <c r="R419" s="8">
        <v>850000</v>
      </c>
      <c r="S419" s="4">
        <f t="shared" si="45"/>
        <v>39111.580645161332</v>
      </c>
      <c r="T419" s="21">
        <f t="shared" si="49"/>
        <v>78809.835000000079</v>
      </c>
      <c r="U419" s="16">
        <f t="shared" si="65"/>
        <v>562307.5900000002</v>
      </c>
      <c r="V419">
        <v>21258037</v>
      </c>
      <c r="W419" s="24">
        <f t="shared" si="66"/>
        <v>0.77126779580878468</v>
      </c>
      <c r="X419">
        <f t="shared" si="51"/>
        <v>685743.12903225806</v>
      </c>
      <c r="Y419">
        <f t="shared" si="67"/>
        <v>-7006.8709677419392</v>
      </c>
      <c r="Z419">
        <f t="shared" si="68"/>
        <v>-6516.3900000000031</v>
      </c>
      <c r="AA419">
        <v>22669828</v>
      </c>
      <c r="AB419" s="28">
        <f t="shared" si="64"/>
        <v>0.82248931417911586</v>
      </c>
    </row>
    <row r="420" spans="1:28" x14ac:dyDescent="0.25">
      <c r="A420" s="3">
        <v>45962</v>
      </c>
      <c r="B420" s="2">
        <v>30</v>
      </c>
      <c r="C420" s="8">
        <v>26504147</v>
      </c>
      <c r="D420" s="8">
        <f t="shared" si="60"/>
        <v>883471.56666666665</v>
      </c>
      <c r="E420" s="9">
        <v>53.183300000000003</v>
      </c>
      <c r="F420" s="2">
        <v>961</v>
      </c>
      <c r="G420" s="8">
        <v>1624126</v>
      </c>
      <c r="H420" s="12">
        <f t="shared" si="57"/>
        <v>1.0612781841271859</v>
      </c>
      <c r="I420" s="8">
        <v>24336120</v>
      </c>
      <c r="J420" s="8">
        <f t="shared" si="61"/>
        <v>811204</v>
      </c>
      <c r="K420" s="13">
        <f t="shared" si="53"/>
        <v>0.91820046123348165</v>
      </c>
      <c r="L420" s="2">
        <v>752</v>
      </c>
      <c r="M420" s="13">
        <f t="shared" si="54"/>
        <v>0.78251821019771073</v>
      </c>
      <c r="N420" s="27">
        <v>265433</v>
      </c>
      <c r="O420" s="23">
        <v>166924</v>
      </c>
      <c r="P420" s="8">
        <f t="shared" si="62"/>
        <v>5564.1333333333332</v>
      </c>
      <c r="Q420" s="9">
        <f t="shared" si="63"/>
        <v>157.1895832834104</v>
      </c>
      <c r="R420" s="8">
        <v>850000</v>
      </c>
      <c r="S420" s="4">
        <f t="shared" si="45"/>
        <v>33471.566666666651</v>
      </c>
      <c r="T420" s="21">
        <f t="shared" si="49"/>
        <v>65269.554999999971</v>
      </c>
      <c r="U420" s="16">
        <f t="shared" si="65"/>
        <v>627577.14500000014</v>
      </c>
      <c r="V420">
        <v>20756270</v>
      </c>
      <c r="W420" s="24">
        <f t="shared" si="66"/>
        <v>0.78313291878436986</v>
      </c>
      <c r="X420">
        <f t="shared" si="51"/>
        <v>691875.66666666663</v>
      </c>
      <c r="Y420">
        <f t="shared" si="67"/>
        <v>-874.33333333337214</v>
      </c>
      <c r="Z420">
        <f t="shared" si="68"/>
        <v>-786.90000000003488</v>
      </c>
      <c r="AA420">
        <v>22072752</v>
      </c>
      <c r="AB420" s="28">
        <f t="shared" si="64"/>
        <v>0.8328037118115893</v>
      </c>
    </row>
    <row r="421" spans="1:28" x14ac:dyDescent="0.25">
      <c r="A421" s="3">
        <v>45992</v>
      </c>
      <c r="B421" s="2">
        <v>31</v>
      </c>
      <c r="C421" s="8">
        <v>27231550</v>
      </c>
      <c r="D421" s="8">
        <f t="shared" si="60"/>
        <v>878437.09677419357</v>
      </c>
      <c r="E421" s="9">
        <v>51.580599999999997</v>
      </c>
      <c r="F421" s="2">
        <v>961</v>
      </c>
      <c r="G421" s="8">
        <v>1845351</v>
      </c>
      <c r="H421" s="12">
        <f t="shared" si="57"/>
        <v>1.0677651841338447</v>
      </c>
      <c r="I421" s="8">
        <v>24818178</v>
      </c>
      <c r="J421" s="8">
        <f t="shared" si="61"/>
        <v>800586.38709677418</v>
      </c>
      <c r="K421" s="13">
        <f t="shared" si="53"/>
        <v>0.91137588569141303</v>
      </c>
      <c r="L421" s="2">
        <v>752</v>
      </c>
      <c r="M421" s="13">
        <f t="shared" si="54"/>
        <v>0.78251821019771073</v>
      </c>
      <c r="N421" s="27">
        <v>76219</v>
      </c>
      <c r="O421" s="23">
        <v>175026</v>
      </c>
      <c r="P421" s="8">
        <f t="shared" si="62"/>
        <v>5646</v>
      </c>
      <c r="Q421" s="9">
        <f t="shared" si="63"/>
        <v>155.15026910287617</v>
      </c>
      <c r="R421" s="8">
        <v>850000</v>
      </c>
      <c r="S421" s="4">
        <f t="shared" si="45"/>
        <v>28437.096774193575</v>
      </c>
      <c r="T421" s="21">
        <f t="shared" si="49"/>
        <v>57300.750000000051</v>
      </c>
      <c r="U421" s="16">
        <f t="shared" si="65"/>
        <v>684877.89500000014</v>
      </c>
      <c r="V421">
        <v>21469915</v>
      </c>
      <c r="W421" s="24">
        <f t="shared" si="66"/>
        <v>0.78842060036979167</v>
      </c>
      <c r="X421">
        <f t="shared" si="51"/>
        <v>692577.90322580643</v>
      </c>
      <c r="Y421">
        <f t="shared" si="67"/>
        <v>-172.09677419357467</v>
      </c>
      <c r="Z421">
        <f t="shared" si="68"/>
        <v>-160.05000000002445</v>
      </c>
      <c r="AA421">
        <v>22929128</v>
      </c>
      <c r="AB421" s="28">
        <f t="shared" si="64"/>
        <v>0.84200598203187116</v>
      </c>
    </row>
    <row r="422" spans="1:28" x14ac:dyDescent="0.25">
      <c r="A422" s="3">
        <v>46023</v>
      </c>
      <c r="B422" s="2">
        <v>31</v>
      </c>
      <c r="C422" s="8">
        <v>26221676</v>
      </c>
      <c r="D422" s="8">
        <f t="shared" si="60"/>
        <v>845860.51612903224</v>
      </c>
      <c r="E422" s="9">
        <v>53.7742</v>
      </c>
      <c r="F422" s="2">
        <v>963</v>
      </c>
      <c r="G422" s="8">
        <v>1889933</v>
      </c>
      <c r="H422" s="12">
        <f t="shared" si="57"/>
        <v>1.0720752174651231</v>
      </c>
      <c r="I422" s="8">
        <v>23826872</v>
      </c>
      <c r="J422" s="8">
        <f t="shared" si="61"/>
        <v>768608.77419354836</v>
      </c>
      <c r="K422" s="13">
        <f t="shared" si="53"/>
        <v>0.90867082638043428</v>
      </c>
      <c r="L422" s="2">
        <v>754</v>
      </c>
      <c r="M422" s="13">
        <f t="shared" si="54"/>
        <v>0.78296988577362414</v>
      </c>
      <c r="N422" s="27">
        <v>440411</v>
      </c>
      <c r="O422" s="23">
        <v>161977</v>
      </c>
      <c r="P422" s="8">
        <f t="shared" si="62"/>
        <v>5225.0645161290322</v>
      </c>
      <c r="Q422" s="9">
        <f t="shared" si="63"/>
        <v>159.16620878272843</v>
      </c>
      <c r="R422" s="8">
        <v>890000</v>
      </c>
      <c r="S422" s="4">
        <f t="shared" si="45"/>
        <v>-44139.483870967757</v>
      </c>
      <c r="T422" s="21">
        <f t="shared" si="49"/>
        <v>-88941.060000000027</v>
      </c>
      <c r="U422" s="16">
        <f>T422</f>
        <v>-88941.060000000027</v>
      </c>
      <c r="V422">
        <v>20379046</v>
      </c>
      <c r="W422" s="24">
        <f t="shared" si="66"/>
        <v>0.77718319759576004</v>
      </c>
      <c r="X422">
        <f t="shared" si="51"/>
        <v>657388.58064516133</v>
      </c>
      <c r="Y422">
        <f t="shared" si="67"/>
        <v>-35361.419354838668</v>
      </c>
      <c r="Z422">
        <f t="shared" si="68"/>
        <v>-32886.119999999959</v>
      </c>
      <c r="AA422">
        <v>21870851</v>
      </c>
      <c r="AB422" s="28">
        <f t="shared" si="64"/>
        <v>0.8340752513302353</v>
      </c>
    </row>
    <row r="423" spans="1:28" x14ac:dyDescent="0.25">
      <c r="A423" s="3">
        <v>46054</v>
      </c>
      <c r="B423" s="2">
        <v>28</v>
      </c>
      <c r="C423" s="8">
        <v>24177116</v>
      </c>
      <c r="D423" s="8">
        <f t="shared" si="60"/>
        <v>863468.42857142852</v>
      </c>
      <c r="E423" s="9">
        <v>58.258899999999997</v>
      </c>
      <c r="F423" s="2">
        <v>963</v>
      </c>
      <c r="G423" s="8">
        <v>1684804</v>
      </c>
      <c r="H423" s="12">
        <f t="shared" si="57"/>
        <v>1.0696858963658031</v>
      </c>
      <c r="I423" s="8">
        <v>21936071</v>
      </c>
      <c r="J423" s="8">
        <f t="shared" si="61"/>
        <v>783431.10714285716</v>
      </c>
      <c r="K423" s="13">
        <f t="shared" si="53"/>
        <v>0.90730718254402221</v>
      </c>
      <c r="L423" s="2">
        <v>753</v>
      </c>
      <c r="M423" s="13">
        <f t="shared" si="54"/>
        <v>0.7819314641744548</v>
      </c>
      <c r="N423" s="27">
        <v>341175</v>
      </c>
      <c r="O423" s="23">
        <v>155211</v>
      </c>
      <c r="P423" s="8">
        <f t="shared" si="62"/>
        <v>5543.25</v>
      </c>
      <c r="Q423" s="9">
        <f t="shared" si="63"/>
        <v>153.57120951478953</v>
      </c>
      <c r="R423" s="8">
        <v>890000</v>
      </c>
      <c r="S423" s="4">
        <f t="shared" si="45"/>
        <v>-26531.571428571478</v>
      </c>
      <c r="T423" s="21">
        <f t="shared" si="49"/>
        <v>-48287.460000000094</v>
      </c>
      <c r="U423" s="16">
        <f>U422+T423</f>
        <v>-137228.52000000014</v>
      </c>
      <c r="V423">
        <v>18768834</v>
      </c>
      <c r="W423" s="24">
        <f t="shared" si="66"/>
        <v>0.77630574300094357</v>
      </c>
      <c r="X423">
        <f t="shared" si="51"/>
        <v>670315.5</v>
      </c>
      <c r="Y423">
        <f t="shared" si="67"/>
        <v>-22434.5</v>
      </c>
      <c r="Z423">
        <f t="shared" si="68"/>
        <v>-18844.98</v>
      </c>
      <c r="AA423">
        <v>20074438</v>
      </c>
      <c r="AB423" s="28">
        <f t="shared" si="64"/>
        <v>0.83030738653857639</v>
      </c>
    </row>
    <row r="424" spans="1:28" x14ac:dyDescent="0.25">
      <c r="A424" s="3">
        <v>46082</v>
      </c>
      <c r="B424" s="2">
        <v>31</v>
      </c>
      <c r="C424" s="8">
        <v>27170024</v>
      </c>
      <c r="D424" s="8">
        <f t="shared" si="60"/>
        <v>876452.38709677418</v>
      </c>
      <c r="E424" s="9">
        <v>85.477400000000003</v>
      </c>
      <c r="F424" s="2">
        <v>961</v>
      </c>
      <c r="G424" s="8">
        <v>2008291</v>
      </c>
      <c r="H424" s="12">
        <f t="shared" si="57"/>
        <v>1.0739156873766471</v>
      </c>
      <c r="I424" s="8">
        <v>24562638</v>
      </c>
      <c r="J424" s="8">
        <f t="shared" si="61"/>
        <v>792343.16129032255</v>
      </c>
      <c r="K424" s="13">
        <f t="shared" si="53"/>
        <v>0.90403446091913642</v>
      </c>
      <c r="L424" s="2">
        <v>751</v>
      </c>
      <c r="M424" s="13">
        <f t="shared" si="54"/>
        <v>0.78147762747138394</v>
      </c>
      <c r="N424" s="27">
        <v>296554</v>
      </c>
      <c r="O424" s="23">
        <v>172893</v>
      </c>
      <c r="P424" s="8">
        <f t="shared" si="62"/>
        <v>5577.1935483870966</v>
      </c>
      <c r="Q424" s="9">
        <f t="shared" si="63"/>
        <v>155.43411242791785</v>
      </c>
      <c r="R424" s="8">
        <v>890000</v>
      </c>
      <c r="S424" s="4">
        <f t="shared" si="45"/>
        <v>-13547.612903225818</v>
      </c>
      <c r="T424" s="21">
        <f t="shared" si="49"/>
        <v>-27298.440000000021</v>
      </c>
      <c r="U424" s="16">
        <f>U423+T424</f>
        <v>-164526.96000000017</v>
      </c>
      <c r="V424">
        <v>21128168</v>
      </c>
      <c r="W424" s="24">
        <f t="shared" si="66"/>
        <v>0.77762787401291955</v>
      </c>
      <c r="X424">
        <f t="shared" si="51"/>
        <v>681553.80645161285</v>
      </c>
      <c r="Y424">
        <f t="shared" si="67"/>
        <v>-11196.193548387149</v>
      </c>
      <c r="Z424">
        <f t="shared" si="68"/>
        <v>-10412.460000000048</v>
      </c>
      <c r="AA424">
        <v>22704036</v>
      </c>
      <c r="AB424" s="28">
        <f t="shared" si="64"/>
        <v>0.83562811722212682</v>
      </c>
    </row>
    <row r="425" spans="1:28" x14ac:dyDescent="0.25">
      <c r="A425" s="3">
        <v>46113</v>
      </c>
      <c r="B425" s="2">
        <v>30</v>
      </c>
      <c r="C425" s="8">
        <v>26360871</v>
      </c>
      <c r="D425" s="8">
        <f t="shared" si="60"/>
        <v>878695.7</v>
      </c>
      <c r="E425" s="9">
        <v>91.85</v>
      </c>
      <c r="F425" s="2">
        <v>961</v>
      </c>
      <c r="G425" s="8">
        <v>1814123</v>
      </c>
      <c r="H425" s="12">
        <f t="shared" si="57"/>
        <v>1.0688187806844471</v>
      </c>
      <c r="I425" s="8">
        <v>23769120</v>
      </c>
      <c r="J425" s="8">
        <f t="shared" si="61"/>
        <v>792304</v>
      </c>
      <c r="K425" s="13">
        <f t="shared" si="53"/>
        <v>0.90168189055665116</v>
      </c>
      <c r="L425" s="2">
        <v>751</v>
      </c>
      <c r="M425" s="13">
        <f t="shared" si="54"/>
        <v>0.78147762747138394</v>
      </c>
      <c r="N425" s="27">
        <v>232756</v>
      </c>
      <c r="O425" s="2">
        <v>166513</v>
      </c>
      <c r="P425" s="8">
        <f t="shared" si="62"/>
        <v>5550.4333333333334</v>
      </c>
      <c r="Q425" s="9">
        <f t="shared" si="63"/>
        <v>156.91336412172021</v>
      </c>
      <c r="R425" s="8">
        <v>890000</v>
      </c>
      <c r="S425" s="4">
        <f t="shared" si="45"/>
        <v>-11304.300000000047</v>
      </c>
      <c r="T425" s="21">
        <f t="shared" si="49"/>
        <v>-22043.385000000093</v>
      </c>
      <c r="U425" s="16">
        <f t="shared" ref="U425:U433" si="69">U424+T425</f>
        <v>-186570.34500000026</v>
      </c>
      <c r="V425">
        <v>20546341</v>
      </c>
      <c r="W425" s="24">
        <f t="shared" si="66"/>
        <v>0.77942572534875654</v>
      </c>
      <c r="X425">
        <f t="shared" si="51"/>
        <v>684878.03333333333</v>
      </c>
      <c r="Y425">
        <f t="shared" si="67"/>
        <v>-7871.9666666666744</v>
      </c>
      <c r="Z425">
        <f t="shared" si="68"/>
        <v>-7084.7700000000068</v>
      </c>
      <c r="AA425">
        <v>22090530</v>
      </c>
      <c r="AB425" s="28">
        <f t="shared" si="64"/>
        <v>0.83800455607100388</v>
      </c>
    </row>
    <row r="426" spans="1:28" x14ac:dyDescent="0.25">
      <c r="A426" s="3">
        <v>46143</v>
      </c>
      <c r="B426" s="2">
        <v>31</v>
      </c>
      <c r="C426" s="8">
        <v>27308401</v>
      </c>
      <c r="D426" s="8">
        <f t="shared" si="60"/>
        <v>880916.16129032255</v>
      </c>
      <c r="E426" s="9">
        <v>91.822599999999994</v>
      </c>
      <c r="F426" s="2">
        <v>961</v>
      </c>
      <c r="G426" s="8">
        <v>1840084</v>
      </c>
      <c r="H426" s="12">
        <f t="shared" si="57"/>
        <v>1.0673816090513686</v>
      </c>
      <c r="I426" s="8">
        <v>24861172</v>
      </c>
      <c r="J426" s="8">
        <f t="shared" si="61"/>
        <v>801973.29032258061</v>
      </c>
      <c r="K426" s="13">
        <f t="shared" si="53"/>
        <v>0.9103854890661669</v>
      </c>
      <c r="L426" s="2">
        <v>749</v>
      </c>
      <c r="M426" s="13">
        <f t="shared" si="54"/>
        <v>0.77939646201873047</v>
      </c>
      <c r="N426" s="27">
        <v>211882</v>
      </c>
      <c r="R426" s="8">
        <v>890000</v>
      </c>
      <c r="S426" s="4">
        <f t="shared" si="45"/>
        <v>-9083.8387096774532</v>
      </c>
      <c r="T426" s="21">
        <f t="shared" si="49"/>
        <v>-18303.935000000067</v>
      </c>
      <c r="U426" s="16">
        <f t="shared" si="69"/>
        <v>-204874.28000000032</v>
      </c>
      <c r="V426">
        <v>21466984</v>
      </c>
      <c r="W426" s="24">
        <f t="shared" si="66"/>
        <v>0.78609450622905386</v>
      </c>
      <c r="X426">
        <f t="shared" si="51"/>
        <v>692483.3548387097</v>
      </c>
      <c r="Y426">
        <f t="shared" si="67"/>
        <v>-266.6451612903038</v>
      </c>
      <c r="Z426">
        <f t="shared" si="68"/>
        <v>-247.97999999998254</v>
      </c>
      <c r="AA426">
        <v>22906439</v>
      </c>
      <c r="AB426" s="28">
        <f t="shared" si="64"/>
        <v>0.83880557488517915</v>
      </c>
    </row>
    <row r="427" spans="1:28" x14ac:dyDescent="0.25">
      <c r="A427" s="3">
        <v>46174</v>
      </c>
      <c r="B427" s="2">
        <v>30</v>
      </c>
      <c r="C427" s="8">
        <v>26382445</v>
      </c>
      <c r="D427" s="8">
        <f t="shared" si="60"/>
        <v>879414.83333333337</v>
      </c>
      <c r="E427" s="9">
        <v>74.958299999999994</v>
      </c>
      <c r="F427" s="2">
        <v>960</v>
      </c>
      <c r="G427" s="8">
        <v>1642595</v>
      </c>
      <c r="H427" s="12">
        <f t="shared" si="57"/>
        <v>1.0622609087216897</v>
      </c>
      <c r="I427" s="8">
        <v>24147053</v>
      </c>
      <c r="J427" s="8">
        <f t="shared" si="61"/>
        <v>804901.76666666672</v>
      </c>
      <c r="K427" s="13">
        <f t="shared" si="53"/>
        <v>0.91526971817812941</v>
      </c>
      <c r="L427" s="2">
        <v>746</v>
      </c>
      <c r="M427" s="13">
        <f t="shared" si="54"/>
        <v>0.77708333333333335</v>
      </c>
      <c r="N427" s="27">
        <v>181935</v>
      </c>
      <c r="R427" s="8">
        <v>890000</v>
      </c>
      <c r="S427" s="4">
        <f t="shared" si="45"/>
        <v>-10585.166666666628</v>
      </c>
      <c r="T427" s="21">
        <f t="shared" si="49"/>
        <v>-20641.074999999924</v>
      </c>
      <c r="U427" s="16">
        <f t="shared" si="69"/>
        <v>-225515.35500000024</v>
      </c>
      <c r="V427">
        <v>20903546</v>
      </c>
      <c r="W427" s="24">
        <f t="shared" si="66"/>
        <v>0.79232785285821694</v>
      </c>
      <c r="X427">
        <f t="shared" si="51"/>
        <v>696784.8666666667</v>
      </c>
      <c r="Y427">
        <f t="shared" si="67"/>
        <v>4034.8666666666977</v>
      </c>
      <c r="Z427">
        <f t="shared" si="68"/>
        <v>3631.3800000000278</v>
      </c>
      <c r="AA427">
        <v>22182052</v>
      </c>
      <c r="AB427" s="28">
        <f t="shared" si="64"/>
        <v>0.84078833481885396</v>
      </c>
    </row>
    <row r="428" spans="1:28" x14ac:dyDescent="0.25">
      <c r="A428" s="3">
        <v>46204</v>
      </c>
      <c r="B428" s="2">
        <v>31</v>
      </c>
      <c r="C428" s="8">
        <v>27287491</v>
      </c>
      <c r="D428" s="8">
        <f t="shared" si="60"/>
        <v>880241.6451612903</v>
      </c>
      <c r="E428" s="9">
        <v>72.298400000000001</v>
      </c>
      <c r="F428" s="2">
        <v>962</v>
      </c>
      <c r="G428" s="8">
        <v>2056795</v>
      </c>
      <c r="H428" s="12">
        <f t="shared" si="57"/>
        <v>1.0753750134081583</v>
      </c>
      <c r="I428" s="8">
        <v>24587335</v>
      </c>
      <c r="J428" s="8">
        <f t="shared" si="61"/>
        <v>793139.83870967745</v>
      </c>
      <c r="K428" s="13">
        <f t="shared" si="53"/>
        <v>0.90104784642897362</v>
      </c>
      <c r="L428" s="2">
        <v>748</v>
      </c>
      <c r="M428" s="13">
        <f t="shared" si="54"/>
        <v>0.77754677754677759</v>
      </c>
      <c r="N428" s="27">
        <v>187297</v>
      </c>
      <c r="R428" s="8">
        <v>890000</v>
      </c>
      <c r="S428" s="4">
        <f t="shared" si="45"/>
        <v>-9758.3548387096962</v>
      </c>
      <c r="T428" s="21">
        <f t="shared" si="49"/>
        <v>-19663.085000000039</v>
      </c>
      <c r="U428" s="16">
        <f t="shared" si="69"/>
        <v>-245178.44000000029</v>
      </c>
      <c r="V428">
        <v>21413771</v>
      </c>
      <c r="W428" s="24">
        <f t="shared" si="66"/>
        <v>0.78474679112125034</v>
      </c>
      <c r="X428">
        <f t="shared" si="51"/>
        <v>690766.80645161285</v>
      </c>
      <c r="Y428">
        <f t="shared" si="67"/>
        <v>-1983.1935483871493</v>
      </c>
      <c r="Z428">
        <f t="shared" si="68"/>
        <v>-1844.3700000000488</v>
      </c>
      <c r="AA428">
        <v>23039318</v>
      </c>
      <c r="AB428" s="28">
        <f t="shared" si="64"/>
        <v>0.84431793307783409</v>
      </c>
    </row>
    <row r="429" spans="1:28" x14ac:dyDescent="0.25">
      <c r="A429" s="3">
        <v>46235</v>
      </c>
      <c r="B429" s="2">
        <v>31</v>
      </c>
      <c r="R429" s="8">
        <v>890000</v>
      </c>
      <c r="T429" s="21">
        <f t="shared" si="49"/>
        <v>0</v>
      </c>
      <c r="U429" s="16">
        <f t="shared" si="69"/>
        <v>-245178.44000000029</v>
      </c>
    </row>
    <row r="430" spans="1:28" x14ac:dyDescent="0.25">
      <c r="A430" s="3">
        <v>46266</v>
      </c>
      <c r="B430" s="2">
        <v>30</v>
      </c>
      <c r="R430" s="8">
        <v>890000</v>
      </c>
      <c r="T430" s="21">
        <f t="shared" si="49"/>
        <v>0</v>
      </c>
      <c r="U430" s="16">
        <f t="shared" si="69"/>
        <v>-245178.44000000029</v>
      </c>
    </row>
    <row r="431" spans="1:28" x14ac:dyDescent="0.25">
      <c r="A431" s="3">
        <v>46296</v>
      </c>
      <c r="B431" s="2">
        <v>31</v>
      </c>
      <c r="R431" s="8">
        <v>890000</v>
      </c>
      <c r="T431" s="21">
        <f t="shared" si="49"/>
        <v>0</v>
      </c>
      <c r="U431" s="16">
        <f t="shared" si="69"/>
        <v>-245178.44000000029</v>
      </c>
    </row>
    <row r="432" spans="1:28" x14ac:dyDescent="0.25">
      <c r="A432" s="3">
        <v>46327</v>
      </c>
      <c r="B432" s="2">
        <v>30</v>
      </c>
      <c r="R432" s="8">
        <v>890000</v>
      </c>
      <c r="T432" s="21">
        <f t="shared" si="49"/>
        <v>0</v>
      </c>
      <c r="U432" s="16">
        <f t="shared" si="69"/>
        <v>-245178.44000000029</v>
      </c>
    </row>
    <row r="433" spans="1:21" x14ac:dyDescent="0.25">
      <c r="A433" s="3">
        <v>46357</v>
      </c>
      <c r="B433" s="2">
        <v>31</v>
      </c>
      <c r="R433" s="8">
        <v>890000</v>
      </c>
      <c r="T433" s="21">
        <f t="shared" si="49"/>
        <v>0</v>
      </c>
      <c r="U433" s="16">
        <f t="shared" si="69"/>
        <v>-245178.44000000029</v>
      </c>
    </row>
    <row r="434" spans="1:21" x14ac:dyDescent="0.25">
      <c r="A434" s="3">
        <v>46388</v>
      </c>
      <c r="B434" s="2">
        <v>31</v>
      </c>
      <c r="T434" s="21">
        <f t="shared" si="49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6834-FDAB-45A0-893B-2B6358A8E52F}">
  <dimension ref="A1:D344"/>
  <sheetViews>
    <sheetView tabSelected="1" topLeftCell="A204" workbookViewId="0">
      <selection activeCell="A210" sqref="A210"/>
    </sheetView>
  </sheetViews>
  <sheetFormatPr defaultRowHeight="15" x14ac:dyDescent="0.25"/>
  <cols>
    <col min="1" max="1" width="21.5703125" customWidth="1"/>
    <col min="3" max="3" width="18.85546875" style="29" customWidth="1"/>
    <col min="4" max="4" width="10.140625" bestFit="1" customWidth="1"/>
  </cols>
  <sheetData>
    <row r="1" spans="1:4" x14ac:dyDescent="0.25">
      <c r="A1" t="s">
        <v>28</v>
      </c>
      <c r="B1" t="s">
        <v>29</v>
      </c>
      <c r="C1" s="29" t="s">
        <v>30</v>
      </c>
      <c r="D1" t="s">
        <v>31</v>
      </c>
    </row>
    <row r="2" spans="1:4" x14ac:dyDescent="0.25">
      <c r="A2" s="4">
        <v>33775964</v>
      </c>
      <c r="B2" s="3">
        <v>35796</v>
      </c>
    </row>
    <row r="3" spans="1:4" x14ac:dyDescent="0.25">
      <c r="A3" s="4">
        <v>30600608</v>
      </c>
      <c r="B3" s="3">
        <v>35827</v>
      </c>
      <c r="C3" s="29">
        <f>A3-A2</f>
        <v>-3175356</v>
      </c>
      <c r="D3" s="4">
        <f>(A2+A4)/2</f>
        <v>33721885.5</v>
      </c>
    </row>
    <row r="4" spans="1:4" x14ac:dyDescent="0.25">
      <c r="A4" s="4">
        <v>33667807</v>
      </c>
      <c r="B4" s="3">
        <v>35855</v>
      </c>
      <c r="C4" s="29">
        <f t="shared" ref="C4:C67" si="0">A4-A3</f>
        <v>3067199</v>
      </c>
      <c r="D4" s="4">
        <f t="shared" ref="D4:D67" si="1">(A3+A5)/2</f>
        <v>31181405</v>
      </c>
    </row>
    <row r="5" spans="1:4" x14ac:dyDescent="0.25">
      <c r="A5" s="4">
        <v>31762202</v>
      </c>
      <c r="B5" s="3">
        <v>35886</v>
      </c>
      <c r="C5" s="29">
        <f t="shared" si="0"/>
        <v>-1905605</v>
      </c>
      <c r="D5" s="4">
        <f t="shared" si="1"/>
        <v>33083817.5</v>
      </c>
    </row>
    <row r="6" spans="1:4" x14ac:dyDescent="0.25">
      <c r="A6" s="4">
        <v>32499828</v>
      </c>
      <c r="B6" s="3">
        <v>35916</v>
      </c>
      <c r="C6" s="29">
        <f t="shared" si="0"/>
        <v>737626</v>
      </c>
      <c r="D6" s="4">
        <f t="shared" si="1"/>
        <v>31276953.5</v>
      </c>
    </row>
    <row r="7" spans="1:4" x14ac:dyDescent="0.25">
      <c r="A7" s="4">
        <v>30791705</v>
      </c>
      <c r="B7" s="3">
        <v>35947</v>
      </c>
      <c r="C7" s="29">
        <f t="shared" si="0"/>
        <v>-1708123</v>
      </c>
      <c r="D7" s="4">
        <f t="shared" si="1"/>
        <v>31833535.5</v>
      </c>
    </row>
    <row r="8" spans="1:4" x14ac:dyDescent="0.25">
      <c r="A8" s="4">
        <v>31167243</v>
      </c>
      <c r="B8" s="3">
        <v>35977</v>
      </c>
      <c r="C8" s="29">
        <f t="shared" si="0"/>
        <v>375538</v>
      </c>
      <c r="D8" s="4">
        <f t="shared" si="1"/>
        <v>30624828</v>
      </c>
    </row>
    <row r="9" spans="1:4" x14ac:dyDescent="0.25">
      <c r="A9" s="4">
        <v>30457951</v>
      </c>
      <c r="B9" s="3">
        <v>36008</v>
      </c>
      <c r="C9" s="29">
        <f t="shared" si="0"/>
        <v>-709292</v>
      </c>
      <c r="D9" s="4">
        <f t="shared" si="1"/>
        <v>30066511.5</v>
      </c>
    </row>
    <row r="10" spans="1:4" x14ac:dyDescent="0.25">
      <c r="A10" s="4">
        <v>28965780</v>
      </c>
      <c r="B10" s="3">
        <v>36039</v>
      </c>
      <c r="C10" s="29">
        <f t="shared" si="0"/>
        <v>-1492171</v>
      </c>
      <c r="D10" s="4">
        <f t="shared" si="1"/>
        <v>30209072.5</v>
      </c>
    </row>
    <row r="11" spans="1:4" x14ac:dyDescent="0.25">
      <c r="A11" s="4">
        <v>29960194</v>
      </c>
      <c r="B11" s="3">
        <v>36069</v>
      </c>
      <c r="C11" s="29">
        <f t="shared" si="0"/>
        <v>994414</v>
      </c>
      <c r="D11" s="4">
        <f t="shared" si="1"/>
        <v>28534857.5</v>
      </c>
    </row>
    <row r="12" spans="1:4" x14ac:dyDescent="0.25">
      <c r="A12" s="4">
        <v>28103935</v>
      </c>
      <c r="B12" s="3">
        <v>36100</v>
      </c>
      <c r="C12" s="29">
        <f t="shared" si="0"/>
        <v>-1856259</v>
      </c>
      <c r="D12" s="4">
        <f t="shared" si="1"/>
        <v>28897874.5</v>
      </c>
    </row>
    <row r="13" spans="1:4" x14ac:dyDescent="0.25">
      <c r="A13" s="4">
        <v>27835555</v>
      </c>
      <c r="B13" s="3">
        <v>36130</v>
      </c>
      <c r="C13" s="29">
        <f t="shared" si="0"/>
        <v>-268380</v>
      </c>
      <c r="D13" s="4">
        <f t="shared" si="1"/>
        <v>27652255.5</v>
      </c>
    </row>
    <row r="14" spans="1:4" x14ac:dyDescent="0.25">
      <c r="A14" s="4">
        <v>27200576</v>
      </c>
      <c r="B14" s="3">
        <v>36161</v>
      </c>
      <c r="C14" s="29">
        <f t="shared" si="0"/>
        <v>-634979</v>
      </c>
      <c r="D14" s="4">
        <f t="shared" si="1"/>
        <v>26308728.5</v>
      </c>
    </row>
    <row r="15" spans="1:4" x14ac:dyDescent="0.25">
      <c r="A15" s="4">
        <v>24781902</v>
      </c>
      <c r="B15" s="3">
        <v>36192</v>
      </c>
      <c r="C15" s="29">
        <f t="shared" si="0"/>
        <v>-2418674</v>
      </c>
      <c r="D15" s="4">
        <f t="shared" si="1"/>
        <v>27044747.5</v>
      </c>
    </row>
    <row r="16" spans="1:4" x14ac:dyDescent="0.25">
      <c r="A16" s="4">
        <v>26888919</v>
      </c>
      <c r="B16" s="3">
        <v>36220</v>
      </c>
      <c r="C16" s="29">
        <f t="shared" si="0"/>
        <v>2107017</v>
      </c>
      <c r="D16" s="4">
        <f t="shared" si="1"/>
        <v>25338833.5</v>
      </c>
    </row>
    <row r="17" spans="1:4" x14ac:dyDescent="0.25">
      <c r="A17" s="4">
        <v>25895765</v>
      </c>
      <c r="B17" s="3">
        <v>36251</v>
      </c>
      <c r="C17" s="29">
        <f t="shared" si="0"/>
        <v>-993154</v>
      </c>
      <c r="D17" s="4">
        <f t="shared" si="1"/>
        <v>27015334.5</v>
      </c>
    </row>
    <row r="18" spans="1:4" x14ac:dyDescent="0.25">
      <c r="A18" s="4">
        <v>27141750</v>
      </c>
      <c r="B18" s="3">
        <v>36281</v>
      </c>
      <c r="C18" s="29">
        <f t="shared" si="0"/>
        <v>1245985</v>
      </c>
      <c r="D18" s="4">
        <f t="shared" si="1"/>
        <v>26269555</v>
      </c>
    </row>
    <row r="19" spans="1:4" x14ac:dyDescent="0.25">
      <c r="A19" s="4">
        <v>26643345</v>
      </c>
      <c r="B19" s="3">
        <v>36312</v>
      </c>
      <c r="C19" s="29">
        <f t="shared" si="0"/>
        <v>-498405</v>
      </c>
      <c r="D19" s="4">
        <f t="shared" si="1"/>
        <v>27362538.5</v>
      </c>
    </row>
    <row r="20" spans="1:4" x14ac:dyDescent="0.25">
      <c r="A20" s="4">
        <v>27583327</v>
      </c>
      <c r="B20" s="3">
        <v>36342</v>
      </c>
      <c r="C20" s="29">
        <f t="shared" si="0"/>
        <v>939982</v>
      </c>
      <c r="D20" s="4">
        <f t="shared" si="1"/>
        <v>27393899.5</v>
      </c>
    </row>
    <row r="21" spans="1:4" x14ac:dyDescent="0.25">
      <c r="A21" s="4">
        <v>28144454</v>
      </c>
      <c r="B21" s="3">
        <v>36373</v>
      </c>
      <c r="C21" s="29">
        <f t="shared" si="0"/>
        <v>561127</v>
      </c>
      <c r="D21" s="4">
        <f t="shared" si="1"/>
        <v>27643033</v>
      </c>
    </row>
    <row r="22" spans="1:4" x14ac:dyDescent="0.25">
      <c r="A22" s="4">
        <v>27702739</v>
      </c>
      <c r="B22" s="3">
        <v>36404</v>
      </c>
      <c r="C22" s="29">
        <f t="shared" si="0"/>
        <v>-441715</v>
      </c>
      <c r="D22" s="4">
        <f t="shared" si="1"/>
        <v>28422791.5</v>
      </c>
    </row>
    <row r="23" spans="1:4" x14ac:dyDescent="0.25">
      <c r="A23" s="4">
        <v>28701129</v>
      </c>
      <c r="B23" s="3">
        <v>36434</v>
      </c>
      <c r="C23" s="29">
        <f t="shared" si="0"/>
        <v>998390</v>
      </c>
      <c r="D23" s="4">
        <f t="shared" si="1"/>
        <v>27600989.5</v>
      </c>
    </row>
    <row r="24" spans="1:4" x14ac:dyDescent="0.25">
      <c r="A24" s="4">
        <v>27499240</v>
      </c>
      <c r="B24" s="3">
        <v>36465</v>
      </c>
      <c r="C24" s="29">
        <f t="shared" si="0"/>
        <v>-1201889</v>
      </c>
      <c r="D24" s="4">
        <f t="shared" si="1"/>
        <v>28661655</v>
      </c>
    </row>
    <row r="25" spans="1:4" x14ac:dyDescent="0.25">
      <c r="A25" s="4">
        <v>28622181</v>
      </c>
      <c r="B25" s="3">
        <v>36495</v>
      </c>
      <c r="C25" s="29">
        <f t="shared" si="0"/>
        <v>1122941</v>
      </c>
      <c r="D25" s="4">
        <f t="shared" si="1"/>
        <v>28159483.5</v>
      </c>
    </row>
    <row r="26" spans="1:4" x14ac:dyDescent="0.25">
      <c r="A26" s="4">
        <v>28819727</v>
      </c>
      <c r="B26" s="3">
        <v>36526</v>
      </c>
      <c r="C26" s="29">
        <f t="shared" si="0"/>
        <v>197546</v>
      </c>
      <c r="D26" s="4">
        <f t="shared" si="1"/>
        <v>28137444</v>
      </c>
    </row>
    <row r="27" spans="1:4" x14ac:dyDescent="0.25">
      <c r="A27" s="4">
        <v>27652707</v>
      </c>
      <c r="B27" s="3">
        <v>36557</v>
      </c>
      <c r="C27" s="29">
        <f t="shared" si="0"/>
        <v>-1167020</v>
      </c>
      <c r="D27" s="4">
        <f t="shared" si="1"/>
        <v>29457736</v>
      </c>
    </row>
    <row r="28" spans="1:4" x14ac:dyDescent="0.25">
      <c r="A28" s="4">
        <v>30095745</v>
      </c>
      <c r="B28" s="3">
        <v>36586</v>
      </c>
      <c r="C28" s="29">
        <f t="shared" si="0"/>
        <v>2443038</v>
      </c>
      <c r="D28" s="4">
        <f t="shared" si="1"/>
        <v>28678657.5</v>
      </c>
    </row>
    <row r="29" spans="1:4" x14ac:dyDescent="0.25">
      <c r="A29" s="4">
        <v>29704608</v>
      </c>
      <c r="B29" s="3">
        <v>36617</v>
      </c>
      <c r="C29" s="29">
        <f t="shared" si="0"/>
        <v>-391137</v>
      </c>
      <c r="D29" s="4">
        <f t="shared" si="1"/>
        <v>30003355.5</v>
      </c>
    </row>
    <row r="30" spans="1:4" x14ac:dyDescent="0.25">
      <c r="A30" s="4">
        <v>29910966</v>
      </c>
      <c r="B30" s="3">
        <v>36647</v>
      </c>
      <c r="C30" s="29">
        <f t="shared" si="0"/>
        <v>206358</v>
      </c>
      <c r="D30" s="4">
        <f t="shared" si="1"/>
        <v>29512617</v>
      </c>
    </row>
    <row r="31" spans="1:4" x14ac:dyDescent="0.25">
      <c r="A31" s="4">
        <v>29320626</v>
      </c>
      <c r="B31" s="3">
        <v>36678</v>
      </c>
      <c r="C31" s="29">
        <f t="shared" si="0"/>
        <v>-590340</v>
      </c>
      <c r="D31" s="4">
        <f t="shared" si="1"/>
        <v>30214554</v>
      </c>
    </row>
    <row r="32" spans="1:4" x14ac:dyDescent="0.25">
      <c r="A32" s="4">
        <v>30518142</v>
      </c>
      <c r="B32" s="3">
        <v>36708</v>
      </c>
      <c r="C32" s="29">
        <f t="shared" si="0"/>
        <v>1197516</v>
      </c>
      <c r="D32" s="4">
        <f t="shared" si="1"/>
        <v>30010301</v>
      </c>
    </row>
    <row r="33" spans="1:4" x14ac:dyDescent="0.25">
      <c r="A33" s="4">
        <v>30699976</v>
      </c>
      <c r="B33" s="3">
        <v>36739</v>
      </c>
      <c r="C33" s="29">
        <f t="shared" si="0"/>
        <v>181834</v>
      </c>
      <c r="D33" s="4">
        <f t="shared" si="1"/>
        <v>29981839.5</v>
      </c>
    </row>
    <row r="34" spans="1:4" x14ac:dyDescent="0.25">
      <c r="A34" s="4">
        <v>29445537</v>
      </c>
      <c r="B34" s="3">
        <v>36770</v>
      </c>
      <c r="C34" s="29">
        <f t="shared" si="0"/>
        <v>-1254439</v>
      </c>
      <c r="D34" s="4">
        <f t="shared" si="1"/>
        <v>30674473.5</v>
      </c>
    </row>
    <row r="35" spans="1:4" x14ac:dyDescent="0.25">
      <c r="A35" s="4">
        <v>30648971</v>
      </c>
      <c r="B35" s="3">
        <v>36800</v>
      </c>
      <c r="C35" s="29">
        <f t="shared" si="0"/>
        <v>1203434</v>
      </c>
      <c r="D35" s="4">
        <f t="shared" si="1"/>
        <v>29416862</v>
      </c>
    </row>
    <row r="36" spans="1:4" x14ac:dyDescent="0.25">
      <c r="A36" s="4">
        <v>29388187</v>
      </c>
      <c r="B36" s="3">
        <v>36831</v>
      </c>
      <c r="C36" s="29">
        <f t="shared" si="0"/>
        <v>-1260784</v>
      </c>
      <c r="D36" s="4">
        <f t="shared" si="1"/>
        <v>29793385</v>
      </c>
    </row>
    <row r="37" spans="1:4" x14ac:dyDescent="0.25">
      <c r="A37" s="4">
        <f>D37</f>
        <v>28937799</v>
      </c>
      <c r="B37" s="3">
        <v>36861</v>
      </c>
      <c r="D37" s="4">
        <f t="shared" si="1"/>
        <v>28937799</v>
      </c>
    </row>
    <row r="38" spans="1:4" x14ac:dyDescent="0.25">
      <c r="A38" s="4">
        <v>28487411</v>
      </c>
      <c r="B38" s="3">
        <v>36892</v>
      </c>
      <c r="C38" s="29">
        <f t="shared" si="0"/>
        <v>-450388</v>
      </c>
      <c r="D38" s="4">
        <f t="shared" si="1"/>
        <v>27870780.5</v>
      </c>
    </row>
    <row r="39" spans="1:4" x14ac:dyDescent="0.25">
      <c r="A39" s="4">
        <v>26803762</v>
      </c>
      <c r="B39" s="3">
        <v>36923</v>
      </c>
      <c r="C39" s="29">
        <f t="shared" si="0"/>
        <v>-1683649</v>
      </c>
      <c r="D39" s="4">
        <f t="shared" si="1"/>
        <v>28994175.5</v>
      </c>
    </row>
    <row r="40" spans="1:4" x14ac:dyDescent="0.25">
      <c r="A40" s="4">
        <v>29500940</v>
      </c>
      <c r="B40" s="3">
        <v>36951</v>
      </c>
      <c r="C40" s="29">
        <f t="shared" si="0"/>
        <v>2697178</v>
      </c>
      <c r="D40" s="4">
        <f t="shared" si="1"/>
        <v>27981758.5</v>
      </c>
    </row>
    <row r="41" spans="1:4" x14ac:dyDescent="0.25">
      <c r="A41" s="4">
        <v>29159755</v>
      </c>
      <c r="B41" s="3">
        <v>36982</v>
      </c>
      <c r="C41" s="29">
        <f t="shared" si="0"/>
        <v>-341185</v>
      </c>
      <c r="D41" s="4">
        <f t="shared" si="1"/>
        <v>29888267</v>
      </c>
    </row>
    <row r="42" spans="1:4" x14ac:dyDescent="0.25">
      <c r="A42" s="4">
        <v>30275594</v>
      </c>
      <c r="B42" s="3">
        <v>37012</v>
      </c>
      <c r="C42" s="29">
        <f t="shared" si="0"/>
        <v>1115839</v>
      </c>
      <c r="D42" s="4">
        <f t="shared" si="1"/>
        <v>29187010.5</v>
      </c>
    </row>
    <row r="43" spans="1:4" x14ac:dyDescent="0.25">
      <c r="A43" s="4">
        <v>29214266</v>
      </c>
      <c r="B43" s="3">
        <v>37043</v>
      </c>
      <c r="C43" s="29">
        <f t="shared" si="0"/>
        <v>-1061328</v>
      </c>
      <c r="D43" s="4">
        <f t="shared" si="1"/>
        <v>30448845</v>
      </c>
    </row>
    <row r="44" spans="1:4" x14ac:dyDescent="0.25">
      <c r="A44" s="4">
        <v>30622096</v>
      </c>
      <c r="B44" s="3">
        <v>37073</v>
      </c>
      <c r="C44" s="29">
        <f t="shared" si="0"/>
        <v>1407830</v>
      </c>
      <c r="D44" s="4">
        <f t="shared" si="1"/>
        <v>30022938.5</v>
      </c>
    </row>
    <row r="45" spans="1:4" x14ac:dyDescent="0.25">
      <c r="A45" s="4">
        <v>30831611</v>
      </c>
      <c r="B45" s="3">
        <v>37104</v>
      </c>
      <c r="C45" s="29">
        <f t="shared" si="0"/>
        <v>209515</v>
      </c>
      <c r="D45" s="4">
        <f t="shared" si="1"/>
        <v>30032879.5</v>
      </c>
    </row>
    <row r="46" spans="1:4" x14ac:dyDescent="0.25">
      <c r="A46" s="4">
        <v>29443663</v>
      </c>
      <c r="B46" s="3">
        <v>37135</v>
      </c>
      <c r="C46" s="29">
        <f t="shared" si="0"/>
        <v>-1387948</v>
      </c>
      <c r="D46" s="4">
        <f t="shared" si="1"/>
        <v>30950444</v>
      </c>
    </row>
    <row r="47" spans="1:4" x14ac:dyDescent="0.25">
      <c r="A47" s="4">
        <v>31069277</v>
      </c>
      <c r="B47" s="3">
        <v>37165</v>
      </c>
      <c r="C47" s="29">
        <f t="shared" si="0"/>
        <v>1625614</v>
      </c>
      <c r="D47" s="4">
        <f t="shared" si="1"/>
        <v>29640681.5</v>
      </c>
    </row>
    <row r="48" spans="1:4" x14ac:dyDescent="0.25">
      <c r="A48" s="4">
        <v>29837700</v>
      </c>
      <c r="B48" s="3">
        <v>37196</v>
      </c>
      <c r="C48" s="29">
        <f t="shared" si="0"/>
        <v>-1231577</v>
      </c>
      <c r="D48" s="4">
        <f t="shared" si="1"/>
        <v>30907257</v>
      </c>
    </row>
    <row r="49" spans="1:4" x14ac:dyDescent="0.25">
      <c r="A49" s="4">
        <v>30745237</v>
      </c>
      <c r="B49" s="3">
        <v>37226</v>
      </c>
      <c r="C49" s="29">
        <f t="shared" si="0"/>
        <v>907537</v>
      </c>
      <c r="D49" s="4">
        <f t="shared" si="1"/>
        <v>30062332</v>
      </c>
    </row>
    <row r="50" spans="1:4" x14ac:dyDescent="0.25">
      <c r="A50" s="4">
        <v>30286964</v>
      </c>
      <c r="B50" s="3">
        <v>37257</v>
      </c>
      <c r="C50" s="29">
        <f t="shared" si="0"/>
        <v>-458273</v>
      </c>
      <c r="D50" s="4">
        <f t="shared" si="1"/>
        <v>29117079</v>
      </c>
    </row>
    <row r="51" spans="1:4" x14ac:dyDescent="0.25">
      <c r="A51" s="4">
        <v>27488921</v>
      </c>
      <c r="B51" s="3">
        <v>37288</v>
      </c>
      <c r="C51" s="29">
        <f t="shared" si="0"/>
        <v>-2798043</v>
      </c>
      <c r="D51" s="4">
        <f t="shared" si="1"/>
        <v>30422275.5</v>
      </c>
    </row>
    <row r="52" spans="1:4" x14ac:dyDescent="0.25">
      <c r="A52" s="4">
        <v>30557587</v>
      </c>
      <c r="B52" s="3">
        <v>37316</v>
      </c>
      <c r="C52" s="29">
        <f t="shared" si="0"/>
        <v>3068666</v>
      </c>
      <c r="D52" s="4">
        <f t="shared" si="1"/>
        <v>28411734</v>
      </c>
    </row>
    <row r="53" spans="1:4" x14ac:dyDescent="0.25">
      <c r="A53" s="4">
        <v>29334547</v>
      </c>
      <c r="B53" s="3">
        <v>37347</v>
      </c>
      <c r="C53" s="29">
        <f t="shared" si="0"/>
        <v>-1223040</v>
      </c>
      <c r="D53" s="4">
        <f t="shared" si="1"/>
        <v>30393210.5</v>
      </c>
    </row>
    <row r="54" spans="1:4" x14ac:dyDescent="0.25">
      <c r="A54" s="4">
        <v>30228834</v>
      </c>
      <c r="B54" s="3">
        <v>37377</v>
      </c>
      <c r="C54" s="29">
        <f t="shared" si="0"/>
        <v>894287</v>
      </c>
      <c r="D54" s="4">
        <f t="shared" si="1"/>
        <v>29205223.5</v>
      </c>
    </row>
    <row r="55" spans="1:4" x14ac:dyDescent="0.25">
      <c r="A55" s="4">
        <v>29075900</v>
      </c>
      <c r="B55" s="3">
        <v>37408</v>
      </c>
      <c r="C55" s="29">
        <f t="shared" si="0"/>
        <v>-1152934</v>
      </c>
      <c r="D55" s="4">
        <f t="shared" si="1"/>
        <v>30149097</v>
      </c>
    </row>
    <row r="56" spans="1:4" x14ac:dyDescent="0.25">
      <c r="A56" s="4">
        <v>30069360</v>
      </c>
      <c r="B56" s="3">
        <v>37438</v>
      </c>
      <c r="C56" s="29">
        <f t="shared" si="0"/>
        <v>993460</v>
      </c>
      <c r="D56" s="4">
        <f t="shared" si="1"/>
        <v>29486452</v>
      </c>
    </row>
    <row r="57" spans="1:4" x14ac:dyDescent="0.25">
      <c r="A57" s="4">
        <v>29897004</v>
      </c>
      <c r="B57" s="3">
        <v>37469</v>
      </c>
      <c r="C57" s="29">
        <f t="shared" si="0"/>
        <v>-172356</v>
      </c>
      <c r="D57" s="4">
        <f t="shared" si="1"/>
        <v>29670808</v>
      </c>
    </row>
    <row r="58" spans="1:4" x14ac:dyDescent="0.25">
      <c r="A58" s="4">
        <v>29272256</v>
      </c>
      <c r="B58" s="3">
        <v>37500</v>
      </c>
      <c r="C58" s="29">
        <f t="shared" si="0"/>
        <v>-624748</v>
      </c>
      <c r="D58" s="4">
        <f t="shared" si="1"/>
        <v>30058354</v>
      </c>
    </row>
    <row r="59" spans="1:4" x14ac:dyDescent="0.25">
      <c r="A59" s="4">
        <v>30219704</v>
      </c>
      <c r="B59" s="3">
        <v>37530</v>
      </c>
      <c r="C59" s="29">
        <f t="shared" si="0"/>
        <v>947448</v>
      </c>
      <c r="D59" s="4">
        <f t="shared" si="1"/>
        <v>29194679.5</v>
      </c>
    </row>
    <row r="60" spans="1:4" x14ac:dyDescent="0.25">
      <c r="A60" s="4">
        <v>29117103</v>
      </c>
      <c r="B60" s="3">
        <v>37561</v>
      </c>
      <c r="C60" s="29">
        <f t="shared" si="0"/>
        <v>-1102601</v>
      </c>
      <c r="D60" s="4">
        <f t="shared" si="1"/>
        <v>30013149.5</v>
      </c>
    </row>
    <row r="61" spans="1:4" x14ac:dyDescent="0.25">
      <c r="A61" s="4">
        <v>29806595</v>
      </c>
      <c r="B61" s="3">
        <v>37591</v>
      </c>
      <c r="C61" s="29">
        <f t="shared" si="0"/>
        <v>689492</v>
      </c>
      <c r="D61" s="4">
        <f t="shared" si="1"/>
        <v>29391776.5</v>
      </c>
    </row>
    <row r="62" spans="1:4" x14ac:dyDescent="0.25">
      <c r="A62" s="4">
        <v>29666450</v>
      </c>
      <c r="B62" s="3">
        <v>37622</v>
      </c>
      <c r="C62" s="29">
        <f t="shared" si="0"/>
        <v>-140145</v>
      </c>
      <c r="D62" s="4">
        <f t="shared" si="1"/>
        <v>28506796.5</v>
      </c>
    </row>
    <row r="63" spans="1:4" x14ac:dyDescent="0.25">
      <c r="A63" s="4">
        <v>27206998</v>
      </c>
      <c r="B63" s="3">
        <v>37653</v>
      </c>
      <c r="C63" s="29">
        <f t="shared" si="0"/>
        <v>-2459452</v>
      </c>
      <c r="D63" s="4">
        <f t="shared" si="1"/>
        <v>29882471.5</v>
      </c>
    </row>
    <row r="64" spans="1:4" x14ac:dyDescent="0.25">
      <c r="A64" s="4">
        <v>30098493</v>
      </c>
      <c r="B64" s="3">
        <v>37681</v>
      </c>
      <c r="C64" s="29">
        <f t="shared" si="0"/>
        <v>2891495</v>
      </c>
      <c r="D64" s="4">
        <f t="shared" si="1"/>
        <v>28020144</v>
      </c>
    </row>
    <row r="65" spans="1:4" x14ac:dyDescent="0.25">
      <c r="A65" s="4">
        <v>28833290</v>
      </c>
      <c r="B65" s="3">
        <v>37712</v>
      </c>
      <c r="C65" s="29">
        <f t="shared" si="0"/>
        <v>-1265203</v>
      </c>
      <c r="D65" s="4">
        <f t="shared" si="1"/>
        <v>29872549.5</v>
      </c>
    </row>
    <row r="66" spans="1:4" x14ac:dyDescent="0.25">
      <c r="A66" s="4">
        <v>29646606</v>
      </c>
      <c r="B66" s="3">
        <v>37742</v>
      </c>
      <c r="C66" s="29">
        <f t="shared" si="0"/>
        <v>813316</v>
      </c>
      <c r="D66" s="4">
        <f t="shared" si="1"/>
        <v>28596848.5</v>
      </c>
    </row>
    <row r="67" spans="1:4" x14ac:dyDescent="0.25">
      <c r="A67" s="4">
        <v>28360407</v>
      </c>
      <c r="B67" s="3">
        <v>37773</v>
      </c>
      <c r="C67" s="29">
        <f t="shared" si="0"/>
        <v>-1286199</v>
      </c>
      <c r="D67" s="4">
        <f t="shared" si="1"/>
        <v>29424111</v>
      </c>
    </row>
    <row r="68" spans="1:4" x14ac:dyDescent="0.25">
      <c r="A68" s="4">
        <v>29201616</v>
      </c>
      <c r="B68" s="3">
        <v>37803</v>
      </c>
      <c r="C68" s="29">
        <f t="shared" ref="C68:C131" si="2">A68-A67</f>
        <v>841209</v>
      </c>
      <c r="D68" s="4">
        <f t="shared" ref="D68:D131" si="3">(A67+A69)/2</f>
        <v>28686613.5</v>
      </c>
    </row>
    <row r="69" spans="1:4" x14ac:dyDescent="0.25">
      <c r="A69" s="4">
        <v>29012820</v>
      </c>
      <c r="B69" s="3">
        <v>37834</v>
      </c>
      <c r="C69" s="29">
        <f t="shared" si="2"/>
        <v>-188796</v>
      </c>
      <c r="D69" s="4">
        <f t="shared" si="3"/>
        <v>28776014</v>
      </c>
    </row>
    <row r="70" spans="1:4" x14ac:dyDescent="0.25">
      <c r="A70" s="4">
        <v>28350412</v>
      </c>
      <c r="B70" s="3">
        <v>37865</v>
      </c>
      <c r="C70" s="29">
        <f t="shared" si="2"/>
        <v>-662408</v>
      </c>
      <c r="D70" s="4">
        <f t="shared" si="3"/>
        <v>29105307</v>
      </c>
    </row>
    <row r="71" spans="1:4" x14ac:dyDescent="0.25">
      <c r="A71" s="4">
        <v>29197794</v>
      </c>
      <c r="B71" s="3">
        <v>37895</v>
      </c>
      <c r="C71" s="29">
        <f t="shared" si="2"/>
        <v>847382</v>
      </c>
      <c r="D71" s="4">
        <f t="shared" si="3"/>
        <v>28236620.5</v>
      </c>
    </row>
    <row r="72" spans="1:4" x14ac:dyDescent="0.25">
      <c r="A72" s="4">
        <v>28122829</v>
      </c>
      <c r="B72" s="3">
        <v>37926</v>
      </c>
      <c r="C72" s="29">
        <f t="shared" si="2"/>
        <v>-1074965</v>
      </c>
      <c r="D72" s="4">
        <f t="shared" si="3"/>
        <v>28890410.5</v>
      </c>
    </row>
    <row r="73" spans="1:4" x14ac:dyDescent="0.25">
      <c r="A73" s="4">
        <v>28583027</v>
      </c>
      <c r="B73" s="3">
        <v>37956</v>
      </c>
      <c r="C73" s="29">
        <f t="shared" si="2"/>
        <v>460198</v>
      </c>
      <c r="D73" s="4">
        <f t="shared" si="3"/>
        <v>28410885</v>
      </c>
    </row>
    <row r="74" spans="1:4" x14ac:dyDescent="0.25">
      <c r="A74" s="4">
        <v>28698941</v>
      </c>
      <c r="B74" s="3">
        <v>37987</v>
      </c>
      <c r="C74" s="29">
        <f t="shared" si="2"/>
        <v>115914</v>
      </c>
      <c r="D74" s="4">
        <f t="shared" si="3"/>
        <v>27920493</v>
      </c>
    </row>
    <row r="75" spans="1:4" x14ac:dyDescent="0.25">
      <c r="A75" s="4">
        <v>27257959</v>
      </c>
      <c r="B75" s="3">
        <v>38018</v>
      </c>
      <c r="C75" s="29">
        <f t="shared" si="2"/>
        <v>-1440982</v>
      </c>
      <c r="D75" s="4">
        <f t="shared" si="3"/>
        <v>28821399.5</v>
      </c>
    </row>
    <row r="76" spans="1:4" x14ac:dyDescent="0.25">
      <c r="A76" s="8">
        <v>28943858</v>
      </c>
      <c r="B76" s="3">
        <v>38047</v>
      </c>
      <c r="C76" s="29">
        <f t="shared" si="2"/>
        <v>1685899</v>
      </c>
      <c r="D76" s="4">
        <f t="shared" si="3"/>
        <v>27644124.5</v>
      </c>
    </row>
    <row r="77" spans="1:4" x14ac:dyDescent="0.25">
      <c r="A77" s="8">
        <v>28030290</v>
      </c>
      <c r="B77" s="3">
        <v>38078</v>
      </c>
      <c r="C77" s="29">
        <f t="shared" si="2"/>
        <v>-913568</v>
      </c>
      <c r="D77" s="4">
        <f t="shared" si="3"/>
        <v>28900747</v>
      </c>
    </row>
    <row r="78" spans="1:4" x14ac:dyDescent="0.25">
      <c r="A78" s="8">
        <v>28857636</v>
      </c>
      <c r="B78" s="3">
        <v>38108</v>
      </c>
      <c r="C78" s="29">
        <f t="shared" si="2"/>
        <v>827346</v>
      </c>
      <c r="D78" s="4">
        <f t="shared" si="3"/>
        <v>28428774.25</v>
      </c>
    </row>
    <row r="79" spans="1:4" x14ac:dyDescent="0.25">
      <c r="A79" s="8">
        <f>D79</f>
        <v>28827258.5</v>
      </c>
      <c r="B79" s="3">
        <v>38139</v>
      </c>
      <c r="C79" s="29">
        <f>D79</f>
        <v>28827258.5</v>
      </c>
      <c r="D79" s="4">
        <f t="shared" si="3"/>
        <v>28827258.5</v>
      </c>
    </row>
    <row r="80" spans="1:4" x14ac:dyDescent="0.25">
      <c r="A80" s="8">
        <v>28796881</v>
      </c>
      <c r="B80" s="3">
        <v>38169</v>
      </c>
      <c r="C80" s="29">
        <f t="shared" si="2"/>
        <v>-30377.5</v>
      </c>
      <c r="D80" s="4">
        <f t="shared" si="3"/>
        <v>28600616.25</v>
      </c>
    </row>
    <row r="81" spans="1:4" x14ac:dyDescent="0.25">
      <c r="A81" s="8">
        <v>28373974</v>
      </c>
      <c r="B81" s="3">
        <v>38200</v>
      </c>
      <c r="C81" s="29">
        <f t="shared" si="2"/>
        <v>-422907</v>
      </c>
      <c r="D81" s="4">
        <f t="shared" si="3"/>
        <v>28212129.5</v>
      </c>
    </row>
    <row r="82" spans="1:4" x14ac:dyDescent="0.25">
      <c r="A82" s="8">
        <v>27627378</v>
      </c>
      <c r="B82" s="3">
        <v>38231</v>
      </c>
      <c r="C82" s="29">
        <f t="shared" si="2"/>
        <v>-746596</v>
      </c>
      <c r="D82" s="4">
        <f t="shared" si="3"/>
        <v>28637041.5</v>
      </c>
    </row>
    <row r="83" spans="1:4" x14ac:dyDescent="0.25">
      <c r="A83" s="8">
        <v>28900109</v>
      </c>
      <c r="B83" s="3">
        <v>38261</v>
      </c>
      <c r="C83" s="29">
        <f t="shared" si="2"/>
        <v>1272731</v>
      </c>
      <c r="D83" s="4">
        <f t="shared" si="3"/>
        <v>27812998</v>
      </c>
    </row>
    <row r="84" spans="1:4" x14ac:dyDescent="0.25">
      <c r="A84" s="8">
        <v>27998618</v>
      </c>
      <c r="B84" s="3">
        <v>38292</v>
      </c>
      <c r="C84" s="29">
        <f t="shared" si="2"/>
        <v>-901491</v>
      </c>
      <c r="D84" s="4">
        <f t="shared" si="3"/>
        <v>28599390</v>
      </c>
    </row>
    <row r="85" spans="1:4" x14ac:dyDescent="0.25">
      <c r="A85" s="8">
        <v>28298671</v>
      </c>
      <c r="B85" s="3">
        <v>38322</v>
      </c>
      <c r="C85" s="29">
        <f t="shared" si="2"/>
        <v>300053</v>
      </c>
      <c r="D85" s="4">
        <f t="shared" si="3"/>
        <v>28196296</v>
      </c>
    </row>
    <row r="86" spans="1:4" x14ac:dyDescent="0.25">
      <c r="A86" s="8">
        <v>28393974</v>
      </c>
      <c r="B86" s="3">
        <v>38353</v>
      </c>
      <c r="C86" s="29">
        <f t="shared" si="2"/>
        <v>95303</v>
      </c>
      <c r="D86" s="4">
        <f t="shared" si="3"/>
        <v>28533074.25</v>
      </c>
    </row>
    <row r="87" spans="1:4" x14ac:dyDescent="0.25">
      <c r="A87" s="8">
        <f>D87</f>
        <v>28767477.5</v>
      </c>
      <c r="B87" s="3">
        <v>38384</v>
      </c>
      <c r="C87" s="29">
        <f>D87</f>
        <v>28767477.5</v>
      </c>
      <c r="D87" s="4">
        <f t="shared" si="3"/>
        <v>28767477.5</v>
      </c>
    </row>
    <row r="88" spans="1:4" x14ac:dyDescent="0.25">
      <c r="A88" s="8">
        <v>29140981</v>
      </c>
      <c r="B88" s="3">
        <v>38412</v>
      </c>
      <c r="C88" s="29">
        <f t="shared" si="2"/>
        <v>373503.5</v>
      </c>
      <c r="D88" s="4">
        <f t="shared" si="3"/>
        <v>28446874.75</v>
      </c>
    </row>
    <row r="89" spans="1:4" x14ac:dyDescent="0.25">
      <c r="A89" s="8">
        <v>28126272</v>
      </c>
      <c r="B89" s="3">
        <v>38443</v>
      </c>
      <c r="C89" s="29">
        <f t="shared" si="2"/>
        <v>-1014709</v>
      </c>
      <c r="D89" s="4">
        <f t="shared" si="3"/>
        <v>29146264</v>
      </c>
    </row>
    <row r="90" spans="1:4" x14ac:dyDescent="0.25">
      <c r="A90" s="8">
        <v>29151547</v>
      </c>
      <c r="B90" s="3">
        <v>38473</v>
      </c>
      <c r="C90" s="29">
        <f t="shared" si="2"/>
        <v>1025275</v>
      </c>
      <c r="D90" s="4">
        <f t="shared" si="3"/>
        <v>28214881.5</v>
      </c>
    </row>
    <row r="91" spans="1:4" x14ac:dyDescent="0.25">
      <c r="A91" s="8">
        <v>28303491</v>
      </c>
      <c r="B91" s="3">
        <v>38504</v>
      </c>
      <c r="C91" s="29">
        <f t="shared" si="2"/>
        <v>-848056</v>
      </c>
      <c r="D91" s="4">
        <f t="shared" si="3"/>
        <v>29402997</v>
      </c>
    </row>
    <row r="92" spans="1:4" x14ac:dyDescent="0.25">
      <c r="A92" s="8">
        <v>29654447</v>
      </c>
      <c r="B92" s="3">
        <v>38534</v>
      </c>
      <c r="C92" s="29">
        <f t="shared" si="2"/>
        <v>1350956</v>
      </c>
      <c r="D92" s="4">
        <f t="shared" si="3"/>
        <v>29196453</v>
      </c>
    </row>
    <row r="93" spans="1:4" x14ac:dyDescent="0.25">
      <c r="A93" s="8">
        <v>30089415</v>
      </c>
      <c r="B93" s="3">
        <v>38565</v>
      </c>
      <c r="C93" s="29">
        <f t="shared" si="2"/>
        <v>434968</v>
      </c>
      <c r="D93" s="4">
        <f t="shared" si="3"/>
        <v>29846313.5</v>
      </c>
    </row>
    <row r="94" spans="1:4" x14ac:dyDescent="0.25">
      <c r="A94" s="8">
        <f>D94</f>
        <v>30038180</v>
      </c>
      <c r="B94" s="3">
        <v>38596</v>
      </c>
      <c r="C94" s="29">
        <f>D94</f>
        <v>30038180</v>
      </c>
      <c r="D94" s="4">
        <f t="shared" si="3"/>
        <v>30038180</v>
      </c>
    </row>
    <row r="95" spans="1:4" x14ac:dyDescent="0.25">
      <c r="A95" s="8">
        <v>29986945</v>
      </c>
      <c r="B95" s="3">
        <v>38626</v>
      </c>
      <c r="C95" s="29">
        <f t="shared" si="2"/>
        <v>-51235</v>
      </c>
      <c r="D95" s="4">
        <f t="shared" si="3"/>
        <v>29704567.5</v>
      </c>
    </row>
    <row r="96" spans="1:4" x14ac:dyDescent="0.25">
      <c r="A96" s="8">
        <v>29370955</v>
      </c>
      <c r="B96" s="3">
        <v>38657</v>
      </c>
      <c r="C96" s="29">
        <f t="shared" si="2"/>
        <v>-615990</v>
      </c>
      <c r="D96" s="4">
        <f t="shared" si="3"/>
        <v>30175004</v>
      </c>
    </row>
    <row r="97" spans="1:4" x14ac:dyDescent="0.25">
      <c r="A97" s="8">
        <v>30363063</v>
      </c>
      <c r="B97" s="3">
        <v>38687</v>
      </c>
      <c r="C97" s="29">
        <f t="shared" si="2"/>
        <v>992108</v>
      </c>
      <c r="D97" s="4">
        <f t="shared" si="3"/>
        <v>29890670.5</v>
      </c>
    </row>
    <row r="98" spans="1:4" x14ac:dyDescent="0.25">
      <c r="A98" s="8">
        <v>30410386</v>
      </c>
      <c r="B98" s="3">
        <v>38718</v>
      </c>
      <c r="C98" s="29">
        <f t="shared" si="2"/>
        <v>47323</v>
      </c>
      <c r="D98" s="4">
        <f t="shared" si="3"/>
        <v>30409292.75</v>
      </c>
    </row>
    <row r="99" spans="1:4" x14ac:dyDescent="0.25">
      <c r="A99" s="8">
        <f>D99</f>
        <v>30455522.5</v>
      </c>
      <c r="B99" s="3">
        <v>38749</v>
      </c>
      <c r="C99" s="29">
        <f>D99</f>
        <v>30455522.5</v>
      </c>
      <c r="D99" s="4">
        <f t="shared" si="3"/>
        <v>30455522.5</v>
      </c>
    </row>
    <row r="100" spans="1:4" x14ac:dyDescent="0.25">
      <c r="A100" s="8">
        <v>30500659</v>
      </c>
      <c r="B100" s="3">
        <v>38777</v>
      </c>
      <c r="C100" s="29">
        <f t="shared" si="2"/>
        <v>45136.5</v>
      </c>
      <c r="D100" s="4">
        <f t="shared" si="3"/>
        <v>29887124.75</v>
      </c>
    </row>
    <row r="101" spans="1:4" x14ac:dyDescent="0.25">
      <c r="A101" s="8">
        <v>29318727</v>
      </c>
      <c r="B101" s="3">
        <v>38808</v>
      </c>
      <c r="C101" s="29">
        <f t="shared" si="2"/>
        <v>-1181932</v>
      </c>
      <c r="D101" s="4">
        <f t="shared" si="3"/>
        <v>30630264.5</v>
      </c>
    </row>
    <row r="102" spans="1:4" x14ac:dyDescent="0.25">
      <c r="A102" s="8">
        <v>30759870</v>
      </c>
      <c r="B102" s="3">
        <v>38838</v>
      </c>
      <c r="C102" s="29">
        <f t="shared" si="2"/>
        <v>1441143</v>
      </c>
      <c r="D102" s="4">
        <f t="shared" si="3"/>
        <v>29421272</v>
      </c>
    </row>
    <row r="103" spans="1:4" x14ac:dyDescent="0.25">
      <c r="A103" s="8">
        <v>29523817</v>
      </c>
      <c r="B103" s="3">
        <v>38869</v>
      </c>
      <c r="C103" s="29">
        <f t="shared" si="2"/>
        <v>-1236053</v>
      </c>
      <c r="D103" s="4">
        <f t="shared" si="3"/>
        <v>30614159.5</v>
      </c>
    </row>
    <row r="104" spans="1:4" x14ac:dyDescent="0.25">
      <c r="A104" s="8">
        <v>30468449</v>
      </c>
      <c r="B104" s="3">
        <v>38899</v>
      </c>
      <c r="C104" s="29">
        <f t="shared" si="2"/>
        <v>944632</v>
      </c>
      <c r="D104" s="4">
        <f t="shared" si="3"/>
        <v>29971316</v>
      </c>
    </row>
    <row r="105" spans="1:4" x14ac:dyDescent="0.25">
      <c r="A105" s="8">
        <v>30418815</v>
      </c>
      <c r="B105" s="3">
        <v>38930</v>
      </c>
      <c r="C105" s="29">
        <f t="shared" si="2"/>
        <v>-49634</v>
      </c>
      <c r="D105" s="4">
        <f t="shared" si="3"/>
        <v>30027853</v>
      </c>
    </row>
    <row r="106" spans="1:4" x14ac:dyDescent="0.25">
      <c r="A106" s="8">
        <v>29587257</v>
      </c>
      <c r="B106" s="3">
        <v>38961</v>
      </c>
      <c r="C106" s="29">
        <f t="shared" si="2"/>
        <v>-831558</v>
      </c>
      <c r="D106" s="4">
        <f t="shared" si="3"/>
        <v>30513394.5</v>
      </c>
    </row>
    <row r="107" spans="1:4" x14ac:dyDescent="0.25">
      <c r="A107" s="8">
        <v>30607974</v>
      </c>
      <c r="B107" s="3">
        <v>38991</v>
      </c>
      <c r="C107" s="29">
        <f t="shared" si="2"/>
        <v>1020717</v>
      </c>
      <c r="D107" s="4">
        <f t="shared" si="3"/>
        <v>29537460</v>
      </c>
    </row>
    <row r="108" spans="1:4" x14ac:dyDescent="0.25">
      <c r="A108" s="8">
        <v>29487663</v>
      </c>
      <c r="B108" s="3">
        <v>39022</v>
      </c>
      <c r="C108" s="29">
        <f t="shared" si="2"/>
        <v>-1120311</v>
      </c>
      <c r="D108" s="4">
        <f t="shared" si="3"/>
        <v>30474674.5</v>
      </c>
    </row>
    <row r="109" spans="1:4" x14ac:dyDescent="0.25">
      <c r="A109" s="8">
        <v>30341375</v>
      </c>
      <c r="B109" s="3">
        <v>39052</v>
      </c>
      <c r="C109" s="29">
        <f t="shared" si="2"/>
        <v>853712</v>
      </c>
      <c r="D109" s="4">
        <f t="shared" si="3"/>
        <v>29633944.5</v>
      </c>
    </row>
    <row r="110" spans="1:4" x14ac:dyDescent="0.25">
      <c r="A110" s="8">
        <v>29780226</v>
      </c>
      <c r="B110" s="3">
        <v>39083</v>
      </c>
      <c r="C110" s="29">
        <f t="shared" si="2"/>
        <v>-561149</v>
      </c>
      <c r="D110" s="4">
        <f t="shared" si="3"/>
        <v>30281725.25</v>
      </c>
    </row>
    <row r="111" spans="1:4" x14ac:dyDescent="0.25">
      <c r="A111" s="8">
        <f>D111</f>
        <v>30222075.5</v>
      </c>
      <c r="B111" s="3">
        <v>39114</v>
      </c>
      <c r="C111" s="29">
        <f>D111</f>
        <v>30222075.5</v>
      </c>
      <c r="D111" s="4">
        <f t="shared" si="3"/>
        <v>30222075.5</v>
      </c>
    </row>
    <row r="112" spans="1:4" x14ac:dyDescent="0.25">
      <c r="A112" s="8">
        <v>30663925</v>
      </c>
      <c r="B112" s="3">
        <v>39142</v>
      </c>
      <c r="C112" s="29">
        <f t="shared" si="2"/>
        <v>441849.5</v>
      </c>
      <c r="D112" s="4">
        <f t="shared" si="3"/>
        <v>29960444.75</v>
      </c>
    </row>
    <row r="113" spans="1:4" x14ac:dyDescent="0.25">
      <c r="A113" s="8">
        <v>29698814</v>
      </c>
      <c r="B113" s="3">
        <v>39173</v>
      </c>
      <c r="C113" s="29">
        <f t="shared" si="2"/>
        <v>-965111</v>
      </c>
      <c r="D113" s="4">
        <f t="shared" si="3"/>
        <v>30815143</v>
      </c>
    </row>
    <row r="114" spans="1:4" x14ac:dyDescent="0.25">
      <c r="A114" s="8">
        <v>30966361</v>
      </c>
      <c r="B114" s="3">
        <v>39203</v>
      </c>
      <c r="C114" s="29">
        <f t="shared" si="2"/>
        <v>1267547</v>
      </c>
      <c r="D114" s="4">
        <f t="shared" si="3"/>
        <v>29473581</v>
      </c>
    </row>
    <row r="115" spans="1:4" x14ac:dyDescent="0.25">
      <c r="A115" s="8">
        <v>29248348</v>
      </c>
      <c r="B115" s="3">
        <v>39234</v>
      </c>
      <c r="C115" s="29">
        <f t="shared" si="2"/>
        <v>-1718013</v>
      </c>
      <c r="D115" s="4">
        <f t="shared" si="3"/>
        <v>30530592</v>
      </c>
    </row>
    <row r="116" spans="1:4" x14ac:dyDescent="0.25">
      <c r="A116" s="8">
        <v>30094823</v>
      </c>
      <c r="B116" s="3">
        <v>39264</v>
      </c>
      <c r="C116" s="29">
        <f t="shared" si="2"/>
        <v>846475</v>
      </c>
      <c r="D116" s="4">
        <f t="shared" si="3"/>
        <v>29840463.5</v>
      </c>
    </row>
    <row r="117" spans="1:4" x14ac:dyDescent="0.25">
      <c r="A117" s="8">
        <v>30432579</v>
      </c>
      <c r="B117" s="3">
        <v>39295</v>
      </c>
      <c r="C117" s="29">
        <f t="shared" si="2"/>
        <v>337756</v>
      </c>
      <c r="D117" s="4">
        <f t="shared" si="3"/>
        <v>29667515</v>
      </c>
    </row>
    <row r="118" spans="1:4" x14ac:dyDescent="0.25">
      <c r="A118" s="8">
        <v>29240207</v>
      </c>
      <c r="B118" s="3">
        <v>39326</v>
      </c>
      <c r="C118" s="29">
        <f t="shared" si="2"/>
        <v>-1192372</v>
      </c>
      <c r="D118" s="4">
        <f t="shared" si="3"/>
        <v>30207540.5</v>
      </c>
    </row>
    <row r="119" spans="1:4" x14ac:dyDescent="0.25">
      <c r="A119" s="8">
        <v>29982502</v>
      </c>
      <c r="B119" s="3">
        <v>39356</v>
      </c>
      <c r="C119" s="29">
        <f t="shared" si="2"/>
        <v>742295</v>
      </c>
      <c r="D119" s="4">
        <f t="shared" si="3"/>
        <v>29385295.5</v>
      </c>
    </row>
    <row r="120" spans="1:4" x14ac:dyDescent="0.25">
      <c r="A120" s="8">
        <v>29530384</v>
      </c>
      <c r="B120" s="3">
        <v>39387</v>
      </c>
      <c r="C120" s="29">
        <f t="shared" si="2"/>
        <v>-452118</v>
      </c>
      <c r="D120" s="4">
        <f t="shared" si="3"/>
        <v>30214475</v>
      </c>
    </row>
    <row r="121" spans="1:4" x14ac:dyDescent="0.25">
      <c r="A121" s="8">
        <v>30446448</v>
      </c>
      <c r="B121" s="3">
        <v>39417</v>
      </c>
      <c r="C121" s="29">
        <f t="shared" si="2"/>
        <v>916064</v>
      </c>
      <c r="D121" s="4">
        <f t="shared" si="3"/>
        <v>29961560.5</v>
      </c>
    </row>
    <row r="122" spans="1:4" x14ac:dyDescent="0.25">
      <c r="A122" s="8">
        <v>30392737</v>
      </c>
      <c r="B122" s="3">
        <v>39448</v>
      </c>
      <c r="C122" s="29">
        <f t="shared" si="2"/>
        <v>-53711</v>
      </c>
      <c r="D122" s="4">
        <f t="shared" si="3"/>
        <v>29635341.5</v>
      </c>
    </row>
    <row r="123" spans="1:4" x14ac:dyDescent="0.25">
      <c r="A123" s="8">
        <v>28824235</v>
      </c>
      <c r="B123" s="3">
        <v>39479</v>
      </c>
      <c r="C123" s="29">
        <f t="shared" si="2"/>
        <v>-1568502</v>
      </c>
      <c r="D123" s="4">
        <f t="shared" si="3"/>
        <v>30468740.5</v>
      </c>
    </row>
    <row r="124" spans="1:4" x14ac:dyDescent="0.25">
      <c r="A124" s="8">
        <v>30544744</v>
      </c>
      <c r="B124" s="3">
        <v>39508</v>
      </c>
      <c r="C124" s="29">
        <f t="shared" si="2"/>
        <v>1720509</v>
      </c>
      <c r="D124" s="4">
        <f t="shared" si="3"/>
        <v>29198730</v>
      </c>
    </row>
    <row r="125" spans="1:4" x14ac:dyDescent="0.25">
      <c r="A125" s="8">
        <v>29573225</v>
      </c>
      <c r="B125" s="3">
        <v>39539</v>
      </c>
      <c r="C125" s="29">
        <f t="shared" si="2"/>
        <v>-971519</v>
      </c>
      <c r="D125" s="4">
        <f t="shared" si="3"/>
        <v>31028998</v>
      </c>
    </row>
    <row r="126" spans="1:4" x14ac:dyDescent="0.25">
      <c r="A126" s="8">
        <v>31513252</v>
      </c>
      <c r="B126" s="3">
        <v>39569</v>
      </c>
      <c r="C126" s="29">
        <f t="shared" si="2"/>
        <v>1940027</v>
      </c>
      <c r="D126" s="4">
        <f t="shared" si="3"/>
        <v>30011416.5</v>
      </c>
    </row>
    <row r="127" spans="1:4" x14ac:dyDescent="0.25">
      <c r="A127" s="8">
        <v>30449608</v>
      </c>
      <c r="B127" s="3">
        <v>39600</v>
      </c>
      <c r="C127" s="29">
        <f t="shared" si="2"/>
        <v>-1063644</v>
      </c>
      <c r="D127" s="4">
        <f t="shared" si="3"/>
        <v>31661416.5</v>
      </c>
    </row>
    <row r="128" spans="1:4" x14ac:dyDescent="0.25">
      <c r="A128" s="8">
        <v>31809581</v>
      </c>
      <c r="B128" s="3">
        <v>39630</v>
      </c>
      <c r="C128" s="29">
        <f t="shared" si="2"/>
        <v>1359973</v>
      </c>
      <c r="D128" s="4">
        <f t="shared" si="3"/>
        <v>31174362</v>
      </c>
    </row>
    <row r="129" spans="1:4" x14ac:dyDescent="0.25">
      <c r="A129" s="8">
        <v>31899116</v>
      </c>
      <c r="B129" s="3">
        <v>39661</v>
      </c>
      <c r="C129" s="29">
        <f t="shared" si="2"/>
        <v>89535</v>
      </c>
      <c r="D129" s="4">
        <f t="shared" si="3"/>
        <v>31773657.25</v>
      </c>
    </row>
    <row r="130" spans="1:4" x14ac:dyDescent="0.25">
      <c r="A130" s="8">
        <f>D130</f>
        <v>31737733.5</v>
      </c>
      <c r="B130" s="3">
        <v>39692</v>
      </c>
      <c r="C130" s="29">
        <f>D130</f>
        <v>31737733.5</v>
      </c>
      <c r="D130" s="4">
        <f t="shared" si="3"/>
        <v>31737733.5</v>
      </c>
    </row>
    <row r="131" spans="1:4" x14ac:dyDescent="0.25">
      <c r="A131" s="8">
        <v>31576351</v>
      </c>
      <c r="B131" s="3">
        <v>39722</v>
      </c>
      <c r="C131" s="29">
        <f t="shared" si="2"/>
        <v>-161382.5</v>
      </c>
      <c r="D131" s="4">
        <f t="shared" si="3"/>
        <v>31291376.25</v>
      </c>
    </row>
    <row r="132" spans="1:4" x14ac:dyDescent="0.25">
      <c r="A132" s="8">
        <v>30845019</v>
      </c>
      <c r="B132" s="3">
        <v>39753</v>
      </c>
      <c r="C132" s="29">
        <f t="shared" ref="C132:C194" si="4">A132-A131</f>
        <v>-731332</v>
      </c>
      <c r="D132" s="4">
        <f t="shared" ref="D132:D195" si="5">(A131+A133)/2</f>
        <v>31353373</v>
      </c>
    </row>
    <row r="133" spans="1:4" x14ac:dyDescent="0.25">
      <c r="A133" s="8">
        <v>31130395</v>
      </c>
      <c r="B133" s="3">
        <v>39783</v>
      </c>
      <c r="C133" s="29">
        <f t="shared" si="4"/>
        <v>285376</v>
      </c>
      <c r="D133" s="4">
        <f t="shared" si="5"/>
        <v>30759969.5</v>
      </c>
    </row>
    <row r="134" spans="1:4" x14ac:dyDescent="0.25">
      <c r="A134" s="8">
        <v>30674920</v>
      </c>
      <c r="B134" s="3">
        <v>39814</v>
      </c>
      <c r="C134" s="29">
        <f t="shared" si="4"/>
        <v>-455475</v>
      </c>
      <c r="D134" s="4">
        <f t="shared" si="5"/>
        <v>30803251.75</v>
      </c>
    </row>
    <row r="135" spans="1:4" x14ac:dyDescent="0.25">
      <c r="A135" s="8">
        <f>D135</f>
        <v>30476108.5</v>
      </c>
      <c r="B135" s="3">
        <v>39845</v>
      </c>
      <c r="C135" s="29">
        <f>D135</f>
        <v>30476108.5</v>
      </c>
      <c r="D135" s="4">
        <f t="shared" si="5"/>
        <v>30476108.5</v>
      </c>
    </row>
    <row r="136" spans="1:4" x14ac:dyDescent="0.25">
      <c r="A136" s="8">
        <v>30277297</v>
      </c>
      <c r="B136" s="3">
        <v>39873</v>
      </c>
      <c r="C136" s="29">
        <f t="shared" si="4"/>
        <v>-198811.5</v>
      </c>
      <c r="D136" s="4">
        <f t="shared" si="5"/>
        <v>29874037.75</v>
      </c>
    </row>
    <row r="137" spans="1:4" x14ac:dyDescent="0.25">
      <c r="A137" s="8">
        <v>29271967</v>
      </c>
      <c r="B137" s="3">
        <v>39904</v>
      </c>
      <c r="C137" s="29">
        <f t="shared" si="4"/>
        <v>-1005330</v>
      </c>
      <c r="D137" s="4">
        <f t="shared" si="5"/>
        <v>30113698.5</v>
      </c>
    </row>
    <row r="138" spans="1:4" x14ac:dyDescent="0.25">
      <c r="A138" s="8">
        <v>29950100</v>
      </c>
      <c r="B138" s="3">
        <v>39934</v>
      </c>
      <c r="C138" s="29">
        <f t="shared" si="4"/>
        <v>678133</v>
      </c>
      <c r="D138" s="4">
        <f t="shared" si="5"/>
        <v>29151989</v>
      </c>
    </row>
    <row r="139" spans="1:4" x14ac:dyDescent="0.25">
      <c r="A139" s="8">
        <v>29032011</v>
      </c>
      <c r="B139" s="3">
        <v>39965</v>
      </c>
      <c r="C139" s="29">
        <f t="shared" si="4"/>
        <v>-918089</v>
      </c>
      <c r="D139" s="4">
        <f t="shared" si="5"/>
        <v>30090932</v>
      </c>
    </row>
    <row r="140" spans="1:4" x14ac:dyDescent="0.25">
      <c r="A140" s="8">
        <v>30231764</v>
      </c>
      <c r="B140" s="3">
        <v>39995</v>
      </c>
      <c r="C140" s="29">
        <f t="shared" si="4"/>
        <v>1199753</v>
      </c>
      <c r="D140" s="4">
        <f t="shared" si="5"/>
        <v>29593375</v>
      </c>
    </row>
    <row r="141" spans="1:4" x14ac:dyDescent="0.25">
      <c r="A141" s="8">
        <v>30154739</v>
      </c>
      <c r="B141" s="3">
        <v>40026</v>
      </c>
      <c r="C141" s="29">
        <f t="shared" si="4"/>
        <v>-77025</v>
      </c>
      <c r="D141" s="4">
        <f t="shared" si="5"/>
        <v>29653222.5</v>
      </c>
    </row>
    <row r="142" spans="1:4" x14ac:dyDescent="0.25">
      <c r="A142" s="8">
        <v>29074681</v>
      </c>
      <c r="B142" s="3">
        <v>40057</v>
      </c>
      <c r="C142" s="29">
        <f t="shared" si="4"/>
        <v>-1080058</v>
      </c>
      <c r="D142" s="4">
        <f t="shared" si="5"/>
        <v>29758753</v>
      </c>
    </row>
    <row r="143" spans="1:4" x14ac:dyDescent="0.25">
      <c r="A143" s="8">
        <v>29362767</v>
      </c>
      <c r="B143" s="3">
        <v>40087</v>
      </c>
      <c r="C143" s="29">
        <f t="shared" si="4"/>
        <v>288086</v>
      </c>
      <c r="D143" s="4">
        <f t="shared" si="5"/>
        <v>28777251</v>
      </c>
    </row>
    <row r="144" spans="1:4" x14ac:dyDescent="0.25">
      <c r="A144" s="8">
        <v>28479821</v>
      </c>
      <c r="B144" s="3">
        <v>40118</v>
      </c>
      <c r="C144" s="29">
        <f t="shared" si="4"/>
        <v>-882946</v>
      </c>
      <c r="D144" s="4">
        <f t="shared" si="5"/>
        <v>29535987</v>
      </c>
    </row>
    <row r="145" spans="1:4" x14ac:dyDescent="0.25">
      <c r="A145" s="8">
        <v>29709207</v>
      </c>
      <c r="B145" s="3">
        <v>40148</v>
      </c>
      <c r="C145" s="29">
        <f t="shared" si="4"/>
        <v>1229386</v>
      </c>
      <c r="D145" s="4">
        <f t="shared" si="5"/>
        <v>29052321</v>
      </c>
    </row>
    <row r="146" spans="1:4" x14ac:dyDescent="0.25">
      <c r="A146" s="8">
        <v>29624821</v>
      </c>
      <c r="B146" s="3">
        <v>40179</v>
      </c>
      <c r="C146" s="29">
        <f t="shared" si="4"/>
        <v>-84386</v>
      </c>
      <c r="D146" s="4">
        <f t="shared" si="5"/>
        <v>29779152</v>
      </c>
    </row>
    <row r="147" spans="1:4" x14ac:dyDescent="0.25">
      <c r="A147" s="8">
        <f>D147</f>
        <v>29849097</v>
      </c>
      <c r="B147" s="3">
        <v>40210</v>
      </c>
      <c r="C147" s="29">
        <f>D147</f>
        <v>29849097</v>
      </c>
      <c r="D147" s="4">
        <f t="shared" si="5"/>
        <v>29849097</v>
      </c>
    </row>
    <row r="148" spans="1:4" x14ac:dyDescent="0.25">
      <c r="A148" s="8">
        <v>30073373</v>
      </c>
      <c r="B148" s="3">
        <v>40238</v>
      </c>
      <c r="C148" s="29">
        <f t="shared" si="4"/>
        <v>224276</v>
      </c>
      <c r="D148" s="4">
        <f t="shared" si="5"/>
        <v>29664669.5</v>
      </c>
    </row>
    <row r="149" spans="1:4" x14ac:dyDescent="0.25">
      <c r="A149" s="8">
        <v>29480242</v>
      </c>
      <c r="B149" s="3">
        <v>40269</v>
      </c>
      <c r="C149" s="29">
        <f t="shared" si="4"/>
        <v>-593131</v>
      </c>
      <c r="D149" s="4">
        <f t="shared" si="5"/>
        <v>30431430</v>
      </c>
    </row>
    <row r="150" spans="1:4" x14ac:dyDescent="0.25">
      <c r="A150" s="8">
        <v>30789487</v>
      </c>
      <c r="B150" s="3">
        <v>40299</v>
      </c>
      <c r="C150" s="29">
        <f t="shared" si="4"/>
        <v>1309245</v>
      </c>
      <c r="D150" s="4">
        <f t="shared" si="5"/>
        <v>29636917</v>
      </c>
    </row>
    <row r="151" spans="1:4" x14ac:dyDescent="0.25">
      <c r="A151" s="8">
        <v>29793592</v>
      </c>
      <c r="B151" s="3">
        <v>40330</v>
      </c>
      <c r="C151" s="29">
        <f t="shared" si="4"/>
        <v>-995895</v>
      </c>
      <c r="D151" s="4">
        <f t="shared" si="5"/>
        <v>30702930.5</v>
      </c>
    </row>
    <row r="152" spans="1:4" x14ac:dyDescent="0.25">
      <c r="A152" s="8">
        <v>30616374</v>
      </c>
      <c r="B152" s="3">
        <v>40360</v>
      </c>
      <c r="C152" s="29">
        <f t="shared" si="4"/>
        <v>822782</v>
      </c>
      <c r="D152" s="4">
        <f t="shared" si="5"/>
        <v>30286697.5</v>
      </c>
    </row>
    <row r="153" spans="1:4" x14ac:dyDescent="0.25">
      <c r="A153" s="8">
        <v>30779803</v>
      </c>
      <c r="B153" s="3">
        <v>40391</v>
      </c>
      <c r="C153" s="29">
        <f t="shared" si="4"/>
        <v>163429</v>
      </c>
      <c r="D153" s="4">
        <f t="shared" si="5"/>
        <v>30356526.5</v>
      </c>
    </row>
    <row r="154" spans="1:4" x14ac:dyDescent="0.25">
      <c r="A154" s="8">
        <v>30096679</v>
      </c>
      <c r="B154" s="3">
        <v>40422</v>
      </c>
      <c r="C154" s="29">
        <f t="shared" si="4"/>
        <v>-683124</v>
      </c>
      <c r="D154" s="4">
        <f t="shared" si="5"/>
        <v>30860350.5</v>
      </c>
    </row>
    <row r="155" spans="1:4" x14ac:dyDescent="0.25">
      <c r="A155" s="8">
        <v>30940898</v>
      </c>
      <c r="B155" s="3">
        <v>40452</v>
      </c>
      <c r="C155" s="29">
        <f t="shared" si="4"/>
        <v>844219</v>
      </c>
      <c r="D155" s="4">
        <f t="shared" si="5"/>
        <v>30114293</v>
      </c>
    </row>
    <row r="156" spans="1:4" x14ac:dyDescent="0.25">
      <c r="A156" s="8">
        <v>30131907</v>
      </c>
      <c r="B156" s="3">
        <v>40483</v>
      </c>
      <c r="C156" s="29">
        <f t="shared" si="4"/>
        <v>-808991</v>
      </c>
      <c r="D156" s="4">
        <f t="shared" si="5"/>
        <v>30825560.5</v>
      </c>
    </row>
    <row r="157" spans="1:4" x14ac:dyDescent="0.25">
      <c r="A157" s="8">
        <v>30710223</v>
      </c>
      <c r="B157" s="3">
        <v>40513</v>
      </c>
      <c r="C157" s="29">
        <f t="shared" si="4"/>
        <v>578316</v>
      </c>
      <c r="D157" s="4">
        <f t="shared" si="5"/>
        <v>30383188</v>
      </c>
    </row>
    <row r="158" spans="1:4" x14ac:dyDescent="0.25">
      <c r="A158" s="8">
        <v>30634469</v>
      </c>
      <c r="B158" s="3">
        <v>40544</v>
      </c>
      <c r="C158" s="29">
        <f t="shared" si="4"/>
        <v>-75754</v>
      </c>
      <c r="D158" s="4">
        <f t="shared" si="5"/>
        <v>30769004.25</v>
      </c>
    </row>
    <row r="159" spans="1:4" x14ac:dyDescent="0.25">
      <c r="A159" s="8">
        <f>D159</f>
        <v>30827785.5</v>
      </c>
      <c r="B159" s="3">
        <v>40575</v>
      </c>
      <c r="C159" s="29">
        <f>D159</f>
        <v>30827785.5</v>
      </c>
      <c r="D159" s="4">
        <f t="shared" si="5"/>
        <v>30827785.5</v>
      </c>
    </row>
    <row r="160" spans="1:4" x14ac:dyDescent="0.25">
      <c r="A160" s="8">
        <v>31021102</v>
      </c>
      <c r="B160" s="3">
        <v>40603</v>
      </c>
      <c r="C160" s="29">
        <f t="shared" si="4"/>
        <v>193316.5</v>
      </c>
      <c r="D160" s="4">
        <f t="shared" si="5"/>
        <v>30243762.75</v>
      </c>
    </row>
    <row r="161" spans="1:4" x14ac:dyDescent="0.25">
      <c r="A161" s="8">
        <v>29659740</v>
      </c>
      <c r="B161" s="3">
        <v>40634</v>
      </c>
      <c r="C161" s="29">
        <f t="shared" si="4"/>
        <v>-1361362</v>
      </c>
      <c r="D161" s="4">
        <f t="shared" si="5"/>
        <v>31175637</v>
      </c>
    </row>
    <row r="162" spans="1:4" x14ac:dyDescent="0.25">
      <c r="A162" s="8">
        <v>31330172</v>
      </c>
      <c r="B162" s="3">
        <v>40664</v>
      </c>
      <c r="C162" s="29">
        <f t="shared" si="4"/>
        <v>1670432</v>
      </c>
      <c r="D162" s="4">
        <f t="shared" si="5"/>
        <v>30002790</v>
      </c>
    </row>
    <row r="163" spans="1:4" x14ac:dyDescent="0.25">
      <c r="A163" s="8">
        <v>30345840</v>
      </c>
      <c r="B163" s="3">
        <v>40695</v>
      </c>
      <c r="C163" s="29">
        <f t="shared" si="4"/>
        <v>-984332</v>
      </c>
      <c r="D163" s="4">
        <f t="shared" si="5"/>
        <v>31508881.5</v>
      </c>
    </row>
    <row r="164" spans="1:4" x14ac:dyDescent="0.25">
      <c r="A164" s="8">
        <v>31687591</v>
      </c>
      <c r="B164" s="3">
        <v>40725</v>
      </c>
      <c r="C164" s="29">
        <f t="shared" si="4"/>
        <v>1341751</v>
      </c>
      <c r="D164" s="4">
        <f t="shared" si="5"/>
        <v>30818450</v>
      </c>
    </row>
    <row r="165" spans="1:4" x14ac:dyDescent="0.25">
      <c r="A165" s="8">
        <v>31291060</v>
      </c>
      <c r="B165" s="3">
        <v>40756</v>
      </c>
      <c r="C165" s="29">
        <f t="shared" si="4"/>
        <v>-396531</v>
      </c>
      <c r="D165" s="4">
        <f t="shared" si="5"/>
        <v>30561827.5</v>
      </c>
    </row>
    <row r="166" spans="1:4" x14ac:dyDescent="0.25">
      <c r="A166" s="8">
        <v>29436064</v>
      </c>
      <c r="B166" s="3">
        <v>40787</v>
      </c>
      <c r="C166" s="29">
        <f t="shared" si="4"/>
        <v>-1854996</v>
      </c>
      <c r="D166" s="4">
        <f t="shared" si="5"/>
        <v>31569684</v>
      </c>
    </row>
    <row r="167" spans="1:4" x14ac:dyDescent="0.25">
      <c r="A167" s="8">
        <v>31848308</v>
      </c>
      <c r="B167" s="3">
        <v>40817</v>
      </c>
      <c r="C167" s="29">
        <f t="shared" si="4"/>
        <v>2412244</v>
      </c>
      <c r="D167" s="4">
        <f t="shared" si="5"/>
        <v>30369225.5</v>
      </c>
    </row>
    <row r="168" spans="1:4" x14ac:dyDescent="0.25">
      <c r="A168" s="8">
        <v>31302387</v>
      </c>
      <c r="B168" s="3">
        <v>40848</v>
      </c>
      <c r="C168" s="29">
        <f t="shared" si="4"/>
        <v>-545921</v>
      </c>
      <c r="D168" s="4">
        <f t="shared" si="5"/>
        <v>31893827</v>
      </c>
    </row>
    <row r="169" spans="1:4" x14ac:dyDescent="0.25">
      <c r="A169" s="8">
        <v>31939346</v>
      </c>
      <c r="B169" s="3">
        <v>40878</v>
      </c>
      <c r="C169" s="29">
        <f t="shared" si="4"/>
        <v>636959</v>
      </c>
      <c r="D169" s="4">
        <f t="shared" si="5"/>
        <v>31633199</v>
      </c>
    </row>
    <row r="170" spans="1:4" x14ac:dyDescent="0.25">
      <c r="A170" s="8">
        <v>31964011</v>
      </c>
      <c r="B170" s="3">
        <v>40909</v>
      </c>
      <c r="C170" s="29">
        <f t="shared" si="4"/>
        <v>24665</v>
      </c>
      <c r="D170" s="4">
        <f t="shared" si="5"/>
        <v>31117195</v>
      </c>
    </row>
    <row r="171" spans="1:4" x14ac:dyDescent="0.25">
      <c r="A171" s="8">
        <v>30295044</v>
      </c>
      <c r="B171" s="3">
        <v>40940</v>
      </c>
      <c r="C171" s="29">
        <f t="shared" si="4"/>
        <v>-1668967</v>
      </c>
      <c r="D171" s="4">
        <f t="shared" si="5"/>
        <v>32091659</v>
      </c>
    </row>
    <row r="172" spans="1:4" x14ac:dyDescent="0.25">
      <c r="A172" s="8">
        <v>32219307</v>
      </c>
      <c r="B172" s="3">
        <v>40969</v>
      </c>
      <c r="C172" s="29">
        <f t="shared" si="4"/>
        <v>1924263</v>
      </c>
      <c r="D172" s="4">
        <f t="shared" si="5"/>
        <v>30978495.5</v>
      </c>
    </row>
    <row r="173" spans="1:4" x14ac:dyDescent="0.25">
      <c r="A173" s="8">
        <v>31661947</v>
      </c>
      <c r="B173" s="3">
        <v>41000</v>
      </c>
      <c r="C173" s="29">
        <f t="shared" si="4"/>
        <v>-557360</v>
      </c>
      <c r="D173" s="4">
        <f t="shared" si="5"/>
        <v>32196207</v>
      </c>
    </row>
    <row r="174" spans="1:4" x14ac:dyDescent="0.25">
      <c r="A174" s="8">
        <v>32173107</v>
      </c>
      <c r="B174" s="3">
        <v>41030</v>
      </c>
      <c r="C174" s="29">
        <f t="shared" si="4"/>
        <v>511160</v>
      </c>
      <c r="D174" s="4">
        <f t="shared" si="5"/>
        <v>31881857.5</v>
      </c>
    </row>
    <row r="175" spans="1:4" x14ac:dyDescent="0.25">
      <c r="A175" s="8">
        <v>32101768</v>
      </c>
      <c r="B175" s="3">
        <v>41061</v>
      </c>
      <c r="C175" s="29">
        <f t="shared" si="4"/>
        <v>-71339</v>
      </c>
      <c r="D175" s="4">
        <f t="shared" si="5"/>
        <v>32616368</v>
      </c>
    </row>
    <row r="176" spans="1:4" x14ac:dyDescent="0.25">
      <c r="A176" s="8">
        <v>33059629</v>
      </c>
      <c r="B176" s="3">
        <v>41091</v>
      </c>
      <c r="C176" s="29">
        <f t="shared" si="4"/>
        <v>957861</v>
      </c>
      <c r="D176" s="4">
        <f t="shared" si="5"/>
        <v>31987017</v>
      </c>
    </row>
    <row r="177" spans="1:4" x14ac:dyDescent="0.25">
      <c r="A177" s="8">
        <v>31872266</v>
      </c>
      <c r="B177" s="3">
        <v>41122</v>
      </c>
      <c r="C177" s="29">
        <f t="shared" si="4"/>
        <v>-1187363</v>
      </c>
      <c r="D177" s="4">
        <f t="shared" si="5"/>
        <v>32471440</v>
      </c>
    </row>
    <row r="178" spans="1:4" x14ac:dyDescent="0.25">
      <c r="A178" s="8">
        <v>31883251</v>
      </c>
      <c r="B178" s="3">
        <v>41153</v>
      </c>
      <c r="C178" s="29">
        <f t="shared" si="4"/>
        <v>10985</v>
      </c>
      <c r="D178" s="4">
        <f t="shared" si="5"/>
        <v>32449189.5</v>
      </c>
    </row>
    <row r="179" spans="1:4" x14ac:dyDescent="0.25">
      <c r="A179" s="8">
        <v>33026113</v>
      </c>
      <c r="B179" s="3">
        <v>41183</v>
      </c>
      <c r="C179" s="29">
        <f t="shared" si="4"/>
        <v>1142862</v>
      </c>
      <c r="D179" s="4">
        <f t="shared" si="5"/>
        <v>32023879.5</v>
      </c>
    </row>
    <row r="180" spans="1:4" x14ac:dyDescent="0.25">
      <c r="A180" s="8">
        <v>32164508</v>
      </c>
      <c r="B180" s="3">
        <v>41214</v>
      </c>
      <c r="C180" s="29">
        <f t="shared" si="4"/>
        <v>-861605</v>
      </c>
      <c r="D180" s="4">
        <f t="shared" si="5"/>
        <v>32752224.5</v>
      </c>
    </row>
    <row r="181" spans="1:4" x14ac:dyDescent="0.25">
      <c r="A181" s="8">
        <v>32478336</v>
      </c>
      <c r="B181" s="3">
        <v>41244</v>
      </c>
      <c r="C181" s="29">
        <f t="shared" si="4"/>
        <v>313828</v>
      </c>
      <c r="D181" s="4">
        <f t="shared" si="5"/>
        <v>32249121</v>
      </c>
    </row>
    <row r="182" spans="1:4" x14ac:dyDescent="0.25">
      <c r="A182" s="8">
        <v>32333734</v>
      </c>
      <c r="B182" s="3">
        <v>41275</v>
      </c>
      <c r="C182" s="29">
        <f t="shared" si="4"/>
        <v>-144602</v>
      </c>
      <c r="D182" s="4">
        <f t="shared" si="5"/>
        <v>32523805.75</v>
      </c>
    </row>
    <row r="183" spans="1:4" x14ac:dyDescent="0.25">
      <c r="A183" s="8">
        <f>D183</f>
        <v>32569275.5</v>
      </c>
      <c r="B183" s="3">
        <v>41306</v>
      </c>
      <c r="C183" s="29">
        <f>D183</f>
        <v>32569275.5</v>
      </c>
      <c r="D183" s="4">
        <f t="shared" si="5"/>
        <v>32569275.5</v>
      </c>
    </row>
    <row r="184" spans="1:4" x14ac:dyDescent="0.25">
      <c r="A184" s="8">
        <v>32804817</v>
      </c>
      <c r="B184" s="3">
        <v>41334</v>
      </c>
      <c r="C184" s="29">
        <f t="shared" si="4"/>
        <v>235541.5</v>
      </c>
      <c r="D184" s="4">
        <f t="shared" si="5"/>
        <v>31843906.25</v>
      </c>
    </row>
    <row r="185" spans="1:4" x14ac:dyDescent="0.25">
      <c r="A185" s="8">
        <v>31118537</v>
      </c>
      <c r="B185" s="3">
        <v>41365</v>
      </c>
      <c r="C185" s="29">
        <f t="shared" si="4"/>
        <v>-1686280</v>
      </c>
      <c r="D185" s="4">
        <f t="shared" si="5"/>
        <v>32667376.5</v>
      </c>
    </row>
    <row r="186" spans="1:4" x14ac:dyDescent="0.25">
      <c r="A186" s="8">
        <v>32529936</v>
      </c>
      <c r="B186" s="3">
        <v>41395</v>
      </c>
      <c r="C186" s="29">
        <f t="shared" si="4"/>
        <v>1411399</v>
      </c>
      <c r="D186" s="4">
        <f t="shared" si="5"/>
        <v>31709502</v>
      </c>
    </row>
    <row r="187" spans="1:4" x14ac:dyDescent="0.25">
      <c r="A187" s="8">
        <v>32300467</v>
      </c>
      <c r="B187" s="3">
        <v>41426</v>
      </c>
      <c r="C187" s="29">
        <f>D187</f>
        <v>33337477.5</v>
      </c>
      <c r="D187" s="4">
        <f t="shared" si="5"/>
        <v>33337477.5</v>
      </c>
    </row>
    <row r="188" spans="1:4" x14ac:dyDescent="0.25">
      <c r="A188" s="8">
        <v>34145019</v>
      </c>
      <c r="B188" s="3">
        <v>41456</v>
      </c>
      <c r="C188" s="29">
        <f t="shared" si="4"/>
        <v>1844552</v>
      </c>
      <c r="D188" s="4">
        <f t="shared" si="5"/>
        <v>32768576</v>
      </c>
    </row>
    <row r="189" spans="1:4" x14ac:dyDescent="0.25">
      <c r="A189" s="8">
        <v>33236685</v>
      </c>
      <c r="B189" s="3">
        <v>41487</v>
      </c>
      <c r="C189" s="29">
        <f t="shared" si="4"/>
        <v>-908334</v>
      </c>
      <c r="D189" s="4">
        <f t="shared" si="5"/>
        <v>33534995</v>
      </c>
    </row>
    <row r="190" spans="1:4" x14ac:dyDescent="0.25">
      <c r="A190" s="8">
        <v>32924971</v>
      </c>
      <c r="B190" s="3">
        <v>41518</v>
      </c>
      <c r="C190" s="29">
        <f t="shared" si="4"/>
        <v>-311714</v>
      </c>
      <c r="D190" s="4">
        <f t="shared" si="5"/>
        <v>33484793.5</v>
      </c>
    </row>
    <row r="191" spans="1:4" x14ac:dyDescent="0.25">
      <c r="A191" s="8">
        <v>33732902</v>
      </c>
      <c r="B191" s="3">
        <v>41548</v>
      </c>
      <c r="C191" s="29">
        <f t="shared" si="4"/>
        <v>807931</v>
      </c>
      <c r="D191" s="4">
        <f t="shared" si="5"/>
        <v>32885183.5</v>
      </c>
    </row>
    <row r="192" spans="1:4" x14ac:dyDescent="0.25">
      <c r="A192" s="8">
        <v>32845396</v>
      </c>
      <c r="B192" s="3">
        <v>41579</v>
      </c>
      <c r="C192" s="29">
        <f t="shared" si="4"/>
        <v>-887506</v>
      </c>
      <c r="D192" s="4">
        <f t="shared" si="5"/>
        <v>33962067</v>
      </c>
    </row>
    <row r="193" spans="1:4" x14ac:dyDescent="0.25">
      <c r="A193" s="8">
        <v>34191232</v>
      </c>
      <c r="B193" s="3">
        <v>41609</v>
      </c>
      <c r="C193" s="29">
        <f t="shared" si="4"/>
        <v>1345836</v>
      </c>
      <c r="D193" s="4">
        <f t="shared" si="5"/>
        <v>33312852</v>
      </c>
    </row>
    <row r="194" spans="1:4" x14ac:dyDescent="0.25">
      <c r="A194" s="8">
        <v>33780308</v>
      </c>
      <c r="B194" s="3">
        <v>41640</v>
      </c>
      <c r="C194" s="29">
        <f t="shared" si="4"/>
        <v>-410924</v>
      </c>
      <c r="D194" s="4">
        <f t="shared" si="5"/>
        <v>32706390</v>
      </c>
    </row>
    <row r="195" spans="1:4" x14ac:dyDescent="0.25">
      <c r="A195" s="8">
        <v>31221548</v>
      </c>
      <c r="B195" s="3">
        <v>41671</v>
      </c>
      <c r="C195" s="29">
        <f>D195</f>
        <v>33369522.5</v>
      </c>
      <c r="D195" s="4">
        <f t="shared" si="5"/>
        <v>33369522.5</v>
      </c>
    </row>
    <row r="196" spans="1:4" x14ac:dyDescent="0.25">
      <c r="A196" s="8">
        <v>32958737</v>
      </c>
      <c r="B196" s="3">
        <v>41699</v>
      </c>
      <c r="C196" s="29">
        <f t="shared" ref="C196:C259" si="6">A196-A195</f>
        <v>1737189</v>
      </c>
      <c r="D196" s="4">
        <f t="shared" ref="D196:D259" si="7">(A195+A197)/2</f>
        <v>32305335</v>
      </c>
    </row>
    <row r="197" spans="1:4" x14ac:dyDescent="0.25">
      <c r="A197" s="8">
        <v>33389122</v>
      </c>
      <c r="B197" s="3">
        <v>41730</v>
      </c>
      <c r="C197" s="29">
        <f t="shared" si="6"/>
        <v>430385</v>
      </c>
      <c r="D197" s="4">
        <f t="shared" si="7"/>
        <v>33810996</v>
      </c>
    </row>
    <row r="198" spans="1:4" x14ac:dyDescent="0.25">
      <c r="A198" s="8">
        <v>34663255</v>
      </c>
      <c r="B198" s="3">
        <v>41760</v>
      </c>
      <c r="C198" s="29">
        <f t="shared" si="6"/>
        <v>1274133</v>
      </c>
      <c r="D198" s="4">
        <f t="shared" si="7"/>
        <v>33687146</v>
      </c>
    </row>
    <row r="199" spans="1:4" x14ac:dyDescent="0.25">
      <c r="A199" s="8">
        <v>33985170</v>
      </c>
      <c r="B199" s="3">
        <v>41791</v>
      </c>
      <c r="C199" s="29">
        <f t="shared" si="6"/>
        <v>-678085</v>
      </c>
      <c r="D199" s="4">
        <f t="shared" si="7"/>
        <v>34735776</v>
      </c>
    </row>
    <row r="200" spans="1:4" x14ac:dyDescent="0.25">
      <c r="A200" s="8">
        <v>34808297</v>
      </c>
      <c r="B200" s="3">
        <v>41821</v>
      </c>
      <c r="C200" s="29">
        <f t="shared" si="6"/>
        <v>823127</v>
      </c>
      <c r="D200" s="4">
        <f t="shared" si="7"/>
        <v>34755762.5</v>
      </c>
    </row>
    <row r="201" spans="1:4" x14ac:dyDescent="0.25">
      <c r="A201" s="8">
        <v>35526355</v>
      </c>
      <c r="B201" s="3">
        <v>41852</v>
      </c>
      <c r="C201" s="29">
        <f t="shared" si="6"/>
        <v>718058</v>
      </c>
      <c r="D201" s="4">
        <f t="shared" si="7"/>
        <v>34546337.5</v>
      </c>
    </row>
    <row r="202" spans="1:4" x14ac:dyDescent="0.25">
      <c r="A202" s="8">
        <v>34284378</v>
      </c>
      <c r="B202" s="3">
        <v>41883</v>
      </c>
      <c r="C202" s="29">
        <f t="shared" si="6"/>
        <v>-1241977</v>
      </c>
      <c r="D202" s="4">
        <f t="shared" si="7"/>
        <v>35176541</v>
      </c>
    </row>
    <row r="203" spans="1:4" x14ac:dyDescent="0.25">
      <c r="A203" s="8">
        <v>34826727</v>
      </c>
      <c r="B203" s="3">
        <v>41913</v>
      </c>
      <c r="C203" s="29">
        <f t="shared" si="6"/>
        <v>542349</v>
      </c>
      <c r="D203" s="4">
        <f t="shared" si="7"/>
        <v>34542367.5</v>
      </c>
    </row>
    <row r="204" spans="1:4" x14ac:dyDescent="0.25">
      <c r="A204" s="8">
        <v>34800357</v>
      </c>
      <c r="B204" s="3">
        <v>41944</v>
      </c>
      <c r="C204" s="29">
        <f t="shared" si="6"/>
        <v>-26370</v>
      </c>
      <c r="D204" s="4">
        <f t="shared" si="7"/>
        <v>35119333</v>
      </c>
    </row>
    <row r="205" spans="1:4" x14ac:dyDescent="0.25">
      <c r="A205" s="8">
        <v>35411939</v>
      </c>
      <c r="B205" s="3">
        <v>41974</v>
      </c>
      <c r="C205" s="29">
        <f t="shared" si="6"/>
        <v>611582</v>
      </c>
      <c r="D205" s="4">
        <f t="shared" si="7"/>
        <v>34943717</v>
      </c>
    </row>
    <row r="206" spans="1:4" x14ac:dyDescent="0.25">
      <c r="A206" s="8">
        <v>35087077</v>
      </c>
      <c r="B206" s="3">
        <v>42005</v>
      </c>
      <c r="C206" s="29">
        <f t="shared" si="6"/>
        <v>-324862</v>
      </c>
      <c r="D206" s="4">
        <f t="shared" si="7"/>
        <v>35329144.75</v>
      </c>
    </row>
    <row r="207" spans="1:4" x14ac:dyDescent="0.25">
      <c r="A207" s="8">
        <f>D207</f>
        <v>35246350.5</v>
      </c>
      <c r="B207" s="3">
        <v>42036</v>
      </c>
      <c r="C207" s="29">
        <f>D207</f>
        <v>35246350.5</v>
      </c>
      <c r="D207" s="4">
        <f t="shared" si="7"/>
        <v>35246350.5</v>
      </c>
    </row>
    <row r="208" spans="1:4" x14ac:dyDescent="0.25">
      <c r="A208" s="8">
        <v>35405624</v>
      </c>
      <c r="B208" s="3">
        <v>42064</v>
      </c>
      <c r="C208" s="29">
        <f t="shared" si="6"/>
        <v>159273.5</v>
      </c>
      <c r="D208" s="4">
        <f t="shared" si="7"/>
        <v>34911252</v>
      </c>
    </row>
    <row r="209" spans="1:4" x14ac:dyDescent="0.25">
      <c r="A209" s="8">
        <f>D209</f>
        <v>34576153.5</v>
      </c>
      <c r="B209" s="3">
        <v>42095</v>
      </c>
      <c r="C209" s="29">
        <f t="shared" si="6"/>
        <v>-829470.5</v>
      </c>
      <c r="D209" s="4">
        <f t="shared" si="7"/>
        <v>34576153.5</v>
      </c>
    </row>
    <row r="210" spans="1:4" x14ac:dyDescent="0.25">
      <c r="A210" s="8">
        <v>33746683</v>
      </c>
      <c r="B210" s="3">
        <v>42125</v>
      </c>
      <c r="C210" s="29">
        <f t="shared" si="6"/>
        <v>-829470.5</v>
      </c>
      <c r="D210" s="4">
        <f t="shared" si="7"/>
        <v>33600702.25</v>
      </c>
    </row>
    <row r="211" spans="1:4" x14ac:dyDescent="0.25">
      <c r="A211" s="8">
        <v>32625251</v>
      </c>
      <c r="B211" s="3">
        <v>42156</v>
      </c>
      <c r="C211" s="29">
        <f t="shared" si="6"/>
        <v>-1121432</v>
      </c>
      <c r="D211" s="4">
        <f t="shared" si="7"/>
        <v>33958523.5</v>
      </c>
    </row>
    <row r="212" spans="1:4" x14ac:dyDescent="0.25">
      <c r="A212" s="8">
        <v>34170364</v>
      </c>
      <c r="B212" s="3">
        <v>42186</v>
      </c>
      <c r="C212" s="29">
        <f t="shared" si="6"/>
        <v>1545113</v>
      </c>
      <c r="D212" s="4">
        <f t="shared" si="7"/>
        <v>33350350.5</v>
      </c>
    </row>
    <row r="213" spans="1:4" x14ac:dyDescent="0.25">
      <c r="A213" s="8">
        <v>34075450</v>
      </c>
      <c r="B213" s="3">
        <v>42217</v>
      </c>
      <c r="C213" s="29">
        <f t="shared" si="6"/>
        <v>-94914</v>
      </c>
      <c r="D213" s="4">
        <f t="shared" si="7"/>
        <v>33268825</v>
      </c>
    </row>
    <row r="214" spans="1:4" x14ac:dyDescent="0.25">
      <c r="A214" s="8">
        <v>32367286</v>
      </c>
      <c r="B214" s="3">
        <v>42248</v>
      </c>
      <c r="C214" s="29">
        <f t="shared" si="6"/>
        <v>-1708164</v>
      </c>
      <c r="D214" s="4">
        <f t="shared" si="7"/>
        <v>33397138.5</v>
      </c>
    </row>
    <row r="215" spans="1:4" x14ac:dyDescent="0.25">
      <c r="A215" s="8">
        <v>32718827</v>
      </c>
      <c r="B215" s="3">
        <v>42278</v>
      </c>
      <c r="C215" s="29">
        <f t="shared" si="6"/>
        <v>351541</v>
      </c>
      <c r="D215" s="4">
        <f t="shared" si="7"/>
        <v>31881671.5</v>
      </c>
    </row>
    <row r="216" spans="1:4" x14ac:dyDescent="0.25">
      <c r="A216" s="8">
        <v>31396057</v>
      </c>
      <c r="B216" s="3">
        <v>42309</v>
      </c>
      <c r="C216" s="29">
        <f t="shared" si="6"/>
        <v>-1322770</v>
      </c>
      <c r="D216" s="4">
        <f t="shared" si="7"/>
        <v>32262230</v>
      </c>
    </row>
    <row r="217" spans="1:4" x14ac:dyDescent="0.25">
      <c r="A217" s="8">
        <v>31805633</v>
      </c>
      <c r="B217" s="3">
        <v>42339</v>
      </c>
      <c r="C217" s="29">
        <f t="shared" si="6"/>
        <v>409576</v>
      </c>
      <c r="D217" s="4">
        <f t="shared" si="7"/>
        <v>29648908</v>
      </c>
    </row>
    <row r="218" spans="1:4" x14ac:dyDescent="0.25">
      <c r="A218" s="8">
        <v>27901759</v>
      </c>
      <c r="B218" s="3">
        <v>42370</v>
      </c>
      <c r="C218" s="29">
        <f>D218</f>
        <v>27664259.5</v>
      </c>
      <c r="D218" s="4">
        <f t="shared" si="7"/>
        <v>27664259.5</v>
      </c>
    </row>
    <row r="219" spans="1:4" x14ac:dyDescent="0.25">
      <c r="A219" s="8">
        <v>23522886</v>
      </c>
      <c r="B219" s="3">
        <v>42401</v>
      </c>
      <c r="C219" s="29">
        <f>D219</f>
        <v>25938268</v>
      </c>
      <c r="D219" s="4">
        <f t="shared" si="7"/>
        <v>25938268</v>
      </c>
    </row>
    <row r="220" spans="1:4" x14ac:dyDescent="0.25">
      <c r="A220" s="8">
        <v>23974777</v>
      </c>
      <c r="B220" s="3">
        <v>42430</v>
      </c>
      <c r="C220" s="29">
        <f t="shared" si="6"/>
        <v>451891</v>
      </c>
      <c r="D220" s="4">
        <f t="shared" si="7"/>
        <v>23935953</v>
      </c>
    </row>
    <row r="221" spans="1:4" x14ac:dyDescent="0.25">
      <c r="A221" s="8">
        <v>24349020</v>
      </c>
      <c r="B221" s="3">
        <v>42461</v>
      </c>
      <c r="C221" s="29">
        <f t="shared" si="6"/>
        <v>374243</v>
      </c>
      <c r="D221" s="4">
        <f t="shared" si="7"/>
        <v>24971869.5</v>
      </c>
    </row>
    <row r="222" spans="1:4" x14ac:dyDescent="0.25">
      <c r="A222" s="8">
        <v>25968962</v>
      </c>
      <c r="B222" s="3">
        <v>42491</v>
      </c>
      <c r="C222" s="29">
        <f t="shared" si="6"/>
        <v>1619942</v>
      </c>
      <c r="D222" s="4">
        <f t="shared" si="7"/>
        <v>24917704</v>
      </c>
    </row>
    <row r="223" spans="1:4" x14ac:dyDescent="0.25">
      <c r="A223" s="8">
        <v>25486388</v>
      </c>
      <c r="B223" s="3">
        <v>42522</v>
      </c>
      <c r="C223" s="29">
        <f t="shared" si="6"/>
        <v>-482574</v>
      </c>
      <c r="D223" s="4">
        <f t="shared" si="7"/>
        <v>25711194</v>
      </c>
    </row>
    <row r="224" spans="1:4" x14ac:dyDescent="0.25">
      <c r="A224" s="8">
        <v>25453426</v>
      </c>
      <c r="B224" s="3">
        <v>42552</v>
      </c>
      <c r="C224" s="29">
        <f t="shared" si="6"/>
        <v>-32962</v>
      </c>
      <c r="D224" s="4">
        <f t="shared" si="7"/>
        <v>25549896</v>
      </c>
    </row>
    <row r="225" spans="1:4" x14ac:dyDescent="0.25">
      <c r="A225" s="8">
        <v>25613404</v>
      </c>
      <c r="B225" s="3">
        <v>42583</v>
      </c>
      <c r="C225" s="29">
        <f t="shared" si="6"/>
        <v>159978</v>
      </c>
      <c r="D225" s="4">
        <f t="shared" si="7"/>
        <v>25643870</v>
      </c>
    </row>
    <row r="226" spans="1:4" x14ac:dyDescent="0.25">
      <c r="A226" s="8">
        <v>25834314</v>
      </c>
      <c r="B226" s="3">
        <v>42614</v>
      </c>
      <c r="C226" s="29">
        <f t="shared" si="6"/>
        <v>220910</v>
      </c>
      <c r="D226" s="4">
        <f t="shared" si="7"/>
        <v>26267305</v>
      </c>
    </row>
    <row r="227" spans="1:4" x14ac:dyDescent="0.25">
      <c r="A227" s="8">
        <v>26921206</v>
      </c>
      <c r="B227" s="3">
        <v>42644</v>
      </c>
      <c r="C227" s="29">
        <f t="shared" si="6"/>
        <v>1086892</v>
      </c>
      <c r="D227" s="4">
        <f t="shared" si="7"/>
        <v>25839383</v>
      </c>
    </row>
    <row r="228" spans="1:4" x14ac:dyDescent="0.25">
      <c r="A228" s="8">
        <v>25844452</v>
      </c>
      <c r="B228" s="3">
        <v>42675</v>
      </c>
      <c r="C228" s="29">
        <f t="shared" si="6"/>
        <v>-1076754</v>
      </c>
      <c r="D228" s="4">
        <f t="shared" si="7"/>
        <v>26630120.5</v>
      </c>
    </row>
    <row r="229" spans="1:4" x14ac:dyDescent="0.25">
      <c r="A229" s="8">
        <v>26339035</v>
      </c>
      <c r="B229" s="3">
        <v>42705</v>
      </c>
      <c r="C229" s="29">
        <f t="shared" si="6"/>
        <v>494583</v>
      </c>
      <c r="D229" s="4">
        <f t="shared" si="7"/>
        <v>26160342</v>
      </c>
    </row>
    <row r="230" spans="1:4" x14ac:dyDescent="0.25">
      <c r="A230" s="8">
        <v>26476232</v>
      </c>
      <c r="B230" s="3">
        <v>42736</v>
      </c>
      <c r="C230" s="29">
        <f t="shared" si="6"/>
        <v>137197</v>
      </c>
      <c r="D230" s="4">
        <f t="shared" si="7"/>
        <v>26342923.25</v>
      </c>
    </row>
    <row r="231" spans="1:4" x14ac:dyDescent="0.25">
      <c r="A231" s="8">
        <f>D231</f>
        <v>26346811.5</v>
      </c>
      <c r="B231" s="3">
        <v>42767</v>
      </c>
      <c r="C231" s="29">
        <f>D231</f>
        <v>26346811.5</v>
      </c>
      <c r="D231" s="4">
        <f t="shared" si="7"/>
        <v>26346811.5</v>
      </c>
    </row>
    <row r="232" spans="1:4" x14ac:dyDescent="0.25">
      <c r="A232" s="8">
        <v>26217391</v>
      </c>
      <c r="B232" s="3">
        <v>42795</v>
      </c>
      <c r="C232" s="29">
        <f t="shared" si="6"/>
        <v>-129420.5</v>
      </c>
      <c r="D232" s="4">
        <f t="shared" si="7"/>
        <v>25839247.25</v>
      </c>
    </row>
    <row r="233" spans="1:4" x14ac:dyDescent="0.25">
      <c r="A233" s="8">
        <v>25331683</v>
      </c>
      <c r="B233" s="3">
        <v>42826</v>
      </c>
      <c r="C233" s="29">
        <f t="shared" si="6"/>
        <v>-885708</v>
      </c>
      <c r="D233" s="4">
        <f t="shared" si="7"/>
        <v>25512500</v>
      </c>
    </row>
    <row r="234" spans="1:4" x14ac:dyDescent="0.25">
      <c r="A234" s="8">
        <v>24807609</v>
      </c>
      <c r="B234" s="3">
        <v>42856</v>
      </c>
      <c r="C234" s="29">
        <f t="shared" si="6"/>
        <v>-524074</v>
      </c>
      <c r="D234" s="4">
        <f t="shared" si="7"/>
        <v>25172013.5</v>
      </c>
    </row>
    <row r="235" spans="1:4" x14ac:dyDescent="0.25">
      <c r="A235" s="8">
        <v>25012344</v>
      </c>
      <c r="B235" s="3">
        <v>42887</v>
      </c>
      <c r="C235" s="29">
        <f t="shared" si="6"/>
        <v>204735</v>
      </c>
      <c r="D235" s="4">
        <f t="shared" si="7"/>
        <v>24944055</v>
      </c>
    </row>
    <row r="236" spans="1:4" x14ac:dyDescent="0.25">
      <c r="A236" s="8">
        <v>25080501</v>
      </c>
      <c r="B236" s="3">
        <v>42917</v>
      </c>
      <c r="C236" s="29">
        <f t="shared" si="6"/>
        <v>68157</v>
      </c>
      <c r="D236" s="4">
        <f t="shared" si="7"/>
        <v>25489305</v>
      </c>
    </row>
    <row r="237" spans="1:4" x14ac:dyDescent="0.25">
      <c r="A237" s="8">
        <v>25966266</v>
      </c>
      <c r="B237" s="3">
        <v>42948</v>
      </c>
      <c r="C237" s="29">
        <f t="shared" si="6"/>
        <v>885765</v>
      </c>
      <c r="D237" s="4">
        <f t="shared" si="7"/>
        <v>25015666.5</v>
      </c>
    </row>
    <row r="238" spans="1:4" x14ac:dyDescent="0.25">
      <c r="A238" s="8">
        <v>24950832</v>
      </c>
      <c r="B238" s="3">
        <v>42979</v>
      </c>
      <c r="C238" s="29">
        <f t="shared" si="6"/>
        <v>-1015434</v>
      </c>
      <c r="D238" s="4">
        <f t="shared" si="7"/>
        <v>25868362.5</v>
      </c>
    </row>
    <row r="239" spans="1:4" x14ac:dyDescent="0.25">
      <c r="A239" s="8">
        <v>25770459</v>
      </c>
      <c r="B239" s="3">
        <v>43009</v>
      </c>
      <c r="C239" s="29">
        <f t="shared" si="6"/>
        <v>819627</v>
      </c>
      <c r="D239" s="4">
        <f t="shared" si="7"/>
        <v>25343557.5</v>
      </c>
    </row>
    <row r="240" spans="1:4" x14ac:dyDescent="0.25">
      <c r="A240" s="8">
        <v>25736283</v>
      </c>
      <c r="B240" s="3">
        <v>43040</v>
      </c>
      <c r="C240" s="29">
        <f t="shared" si="6"/>
        <v>-34176</v>
      </c>
      <c r="D240" s="4">
        <f t="shared" si="7"/>
        <v>26309968</v>
      </c>
    </row>
    <row r="241" spans="1:4" x14ac:dyDescent="0.25">
      <c r="A241" s="8">
        <v>26849477</v>
      </c>
      <c r="B241" s="3">
        <v>43070</v>
      </c>
      <c r="C241" s="29">
        <f t="shared" si="6"/>
        <v>1113194</v>
      </c>
      <c r="D241" s="4">
        <f t="shared" si="7"/>
        <v>26001635</v>
      </c>
    </row>
    <row r="242" spans="1:4" x14ac:dyDescent="0.25">
      <c r="A242" s="8">
        <v>26266987</v>
      </c>
      <c r="B242" s="3">
        <v>43101</v>
      </c>
      <c r="C242" s="29">
        <f t="shared" si="6"/>
        <v>-582490</v>
      </c>
      <c r="D242" s="4">
        <f t="shared" si="7"/>
        <v>25555601.5</v>
      </c>
    </row>
    <row r="243" spans="1:4" x14ac:dyDescent="0.25">
      <c r="A243" s="8">
        <v>24261726</v>
      </c>
      <c r="B243" s="3">
        <v>43132</v>
      </c>
      <c r="C243" s="29">
        <f t="shared" si="6"/>
        <v>-2005261</v>
      </c>
      <c r="D243" s="4">
        <f t="shared" si="7"/>
        <v>26392881</v>
      </c>
    </row>
    <row r="244" spans="1:4" x14ac:dyDescent="0.25">
      <c r="A244" s="8">
        <v>26518775</v>
      </c>
      <c r="B244" s="3">
        <v>43160</v>
      </c>
      <c r="C244" s="29">
        <f t="shared" si="6"/>
        <v>2257049</v>
      </c>
      <c r="D244" s="4">
        <f t="shared" si="7"/>
        <v>24701200</v>
      </c>
    </row>
    <row r="245" spans="1:4" x14ac:dyDescent="0.25">
      <c r="A245" s="8">
        <v>25140674</v>
      </c>
      <c r="B245" s="3">
        <v>43191</v>
      </c>
      <c r="C245" s="29">
        <f t="shared" si="6"/>
        <v>-1378101</v>
      </c>
      <c r="D245" s="4">
        <f t="shared" si="7"/>
        <v>26833025</v>
      </c>
    </row>
    <row r="246" spans="1:4" x14ac:dyDescent="0.25">
      <c r="A246" s="8">
        <v>27147275</v>
      </c>
      <c r="B246" s="3">
        <v>43221</v>
      </c>
      <c r="C246" s="29">
        <f t="shared" si="6"/>
        <v>2006601</v>
      </c>
      <c r="D246" s="4">
        <f t="shared" si="7"/>
        <v>25633589</v>
      </c>
    </row>
    <row r="247" spans="1:4" x14ac:dyDescent="0.25">
      <c r="A247" s="8">
        <v>26126504</v>
      </c>
      <c r="B247" s="3">
        <v>43252</v>
      </c>
      <c r="C247" s="29">
        <f t="shared" si="6"/>
        <v>-1020771</v>
      </c>
      <c r="D247" s="4">
        <f t="shared" si="7"/>
        <v>26884814.5</v>
      </c>
    </row>
    <row r="248" spans="1:4" x14ac:dyDescent="0.25">
      <c r="A248" s="8">
        <v>26622354</v>
      </c>
      <c r="B248" s="3">
        <v>43282</v>
      </c>
      <c r="C248" s="29">
        <f t="shared" si="6"/>
        <v>495850</v>
      </c>
      <c r="D248" s="4">
        <f t="shared" si="7"/>
        <v>26993568</v>
      </c>
    </row>
    <row r="249" spans="1:4" x14ac:dyDescent="0.25">
      <c r="A249" s="8">
        <v>27860632</v>
      </c>
      <c r="B249" s="3">
        <v>43313</v>
      </c>
      <c r="C249" s="29">
        <f t="shared" si="6"/>
        <v>1238278</v>
      </c>
      <c r="D249" s="4">
        <f t="shared" si="7"/>
        <v>26713213</v>
      </c>
    </row>
    <row r="250" spans="1:4" x14ac:dyDescent="0.25">
      <c r="A250" s="8">
        <v>26804072</v>
      </c>
      <c r="B250" s="3">
        <v>43344</v>
      </c>
      <c r="C250" s="29">
        <f t="shared" si="6"/>
        <v>-1056560</v>
      </c>
      <c r="D250" s="4">
        <f t="shared" si="7"/>
        <v>27740439</v>
      </c>
    </row>
    <row r="251" spans="1:4" x14ac:dyDescent="0.25">
      <c r="A251" s="8">
        <v>27620246</v>
      </c>
      <c r="B251" s="3">
        <v>43374</v>
      </c>
      <c r="C251" s="29">
        <f t="shared" si="6"/>
        <v>816174</v>
      </c>
      <c r="D251" s="4">
        <f t="shared" si="7"/>
        <v>26698829.5</v>
      </c>
    </row>
    <row r="252" spans="1:4" x14ac:dyDescent="0.25">
      <c r="A252" s="8">
        <v>26593587</v>
      </c>
      <c r="B252" s="3">
        <v>43405</v>
      </c>
      <c r="C252" s="29">
        <f t="shared" si="6"/>
        <v>-1026659</v>
      </c>
      <c r="D252" s="4">
        <f t="shared" si="7"/>
        <v>27340177.5</v>
      </c>
    </row>
    <row r="253" spans="1:4" x14ac:dyDescent="0.25">
      <c r="A253" s="8">
        <v>27060109</v>
      </c>
      <c r="B253" s="3">
        <v>43435</v>
      </c>
      <c r="C253" s="29">
        <f t="shared" si="6"/>
        <v>466522</v>
      </c>
      <c r="D253" s="4">
        <f t="shared" si="7"/>
        <v>26732451</v>
      </c>
    </row>
    <row r="254" spans="1:4" x14ac:dyDescent="0.25">
      <c r="A254" s="8">
        <v>26871315</v>
      </c>
      <c r="B254" s="3">
        <v>43466</v>
      </c>
      <c r="C254" s="29">
        <f t="shared" si="6"/>
        <v>-188794</v>
      </c>
      <c r="D254" s="4">
        <f t="shared" si="7"/>
        <v>25488421.5</v>
      </c>
    </row>
    <row r="255" spans="1:4" x14ac:dyDescent="0.25">
      <c r="A255" s="8">
        <v>23916734</v>
      </c>
      <c r="B255" s="3">
        <v>43497</v>
      </c>
      <c r="C255" s="29">
        <f>D255</f>
        <v>26481534</v>
      </c>
      <c r="D255" s="4">
        <f t="shared" si="7"/>
        <v>26481534</v>
      </c>
    </row>
    <row r="256" spans="1:4" x14ac:dyDescent="0.25">
      <c r="A256" s="8">
        <v>26091753</v>
      </c>
      <c r="B256" s="3">
        <v>43525</v>
      </c>
      <c r="C256" s="29">
        <f t="shared" si="6"/>
        <v>2175019</v>
      </c>
      <c r="D256" s="4">
        <f t="shared" si="7"/>
        <v>24516870.5</v>
      </c>
    </row>
    <row r="257" spans="1:4" x14ac:dyDescent="0.25">
      <c r="A257" s="8">
        <v>25117007</v>
      </c>
      <c r="B257" s="3">
        <v>43556</v>
      </c>
      <c r="C257" s="29">
        <f t="shared" si="6"/>
        <v>-974746</v>
      </c>
      <c r="D257" s="4">
        <f t="shared" si="7"/>
        <v>24731300.5</v>
      </c>
    </row>
    <row r="258" spans="1:4" x14ac:dyDescent="0.25">
      <c r="A258" s="8">
        <v>23370848</v>
      </c>
      <c r="B258" s="3">
        <v>43586</v>
      </c>
      <c r="C258" s="29">
        <f t="shared" si="6"/>
        <v>-1746159</v>
      </c>
      <c r="D258" s="4">
        <f t="shared" si="7"/>
        <v>24888949.5</v>
      </c>
    </row>
    <row r="259" spans="1:4" x14ac:dyDescent="0.25">
      <c r="A259" s="8">
        <v>24660892</v>
      </c>
      <c r="B259" s="3">
        <v>43617</v>
      </c>
      <c r="C259" s="29">
        <f t="shared" si="6"/>
        <v>1290044</v>
      </c>
      <c r="D259" s="4">
        <f t="shared" si="7"/>
        <v>24281057.5</v>
      </c>
    </row>
    <row r="260" spans="1:4" x14ac:dyDescent="0.25">
      <c r="A260" s="8">
        <v>25191267</v>
      </c>
      <c r="B260" s="3">
        <v>43647</v>
      </c>
      <c r="C260" s="29">
        <f t="shared" ref="C260:C323" si="8">A260-A259</f>
        <v>530375</v>
      </c>
      <c r="D260" s="4">
        <f t="shared" ref="D260:D323" si="9">(A259+A261)/2</f>
        <v>25153073</v>
      </c>
    </row>
    <row r="261" spans="1:4" x14ac:dyDescent="0.25">
      <c r="A261" s="8">
        <v>25645254</v>
      </c>
      <c r="B261" s="3">
        <v>43678</v>
      </c>
      <c r="C261" s="29">
        <f t="shared" si="8"/>
        <v>453987</v>
      </c>
      <c r="D261" s="4">
        <f t="shared" si="9"/>
        <v>25429492.5</v>
      </c>
    </row>
    <row r="262" spans="1:4" x14ac:dyDescent="0.25">
      <c r="A262" s="8">
        <v>25667718</v>
      </c>
      <c r="B262" s="3">
        <v>43709</v>
      </c>
      <c r="C262" s="29">
        <f t="shared" si="8"/>
        <v>22464</v>
      </c>
      <c r="D262" s="4">
        <f t="shared" si="9"/>
        <v>26260339</v>
      </c>
    </row>
    <row r="263" spans="1:4" x14ac:dyDescent="0.25">
      <c r="A263" s="8">
        <v>26875424</v>
      </c>
      <c r="B263" s="3">
        <v>43739</v>
      </c>
      <c r="C263" s="29">
        <f t="shared" si="8"/>
        <v>1207706</v>
      </c>
      <c r="D263" s="4">
        <f t="shared" si="9"/>
        <v>25872575</v>
      </c>
    </row>
    <row r="264" spans="1:4" x14ac:dyDescent="0.25">
      <c r="A264" s="8">
        <v>26077432</v>
      </c>
      <c r="B264" s="3">
        <v>43770</v>
      </c>
      <c r="C264" s="29">
        <f t="shared" si="8"/>
        <v>-797992</v>
      </c>
      <c r="D264" s="4">
        <f t="shared" si="9"/>
        <v>26816037</v>
      </c>
    </row>
    <row r="265" spans="1:4" x14ac:dyDescent="0.25">
      <c r="A265" s="8">
        <v>26756650</v>
      </c>
      <c r="B265" s="3">
        <v>43800</v>
      </c>
      <c r="C265" s="29">
        <f t="shared" si="8"/>
        <v>679218</v>
      </c>
      <c r="D265" s="4">
        <f t="shared" si="9"/>
        <v>26422138</v>
      </c>
    </row>
    <row r="266" spans="1:4" x14ac:dyDescent="0.25">
      <c r="A266" s="8">
        <v>26766844</v>
      </c>
      <c r="B266" s="3">
        <v>43831</v>
      </c>
      <c r="C266" s="29">
        <f t="shared" si="8"/>
        <v>10194</v>
      </c>
      <c r="D266" s="4">
        <f t="shared" si="9"/>
        <v>26074145</v>
      </c>
    </row>
    <row r="267" spans="1:4" x14ac:dyDescent="0.25">
      <c r="A267" s="8">
        <v>25391640</v>
      </c>
      <c r="B267" s="3">
        <v>43862</v>
      </c>
      <c r="C267" s="29">
        <f t="shared" si="8"/>
        <v>-1375204</v>
      </c>
      <c r="D267" s="4">
        <f t="shared" si="9"/>
        <v>26057962</v>
      </c>
    </row>
    <row r="268" spans="1:4" x14ac:dyDescent="0.25">
      <c r="A268" s="8">
        <v>25349080</v>
      </c>
      <c r="B268" s="3">
        <v>43891</v>
      </c>
      <c r="C268" s="29">
        <f t="shared" si="8"/>
        <v>-42560</v>
      </c>
      <c r="D268" s="4">
        <f t="shared" si="9"/>
        <v>23165295.5</v>
      </c>
    </row>
    <row r="269" spans="1:4" x14ac:dyDescent="0.25">
      <c r="A269" s="8">
        <v>20938951</v>
      </c>
      <c r="B269" s="3">
        <v>43922</v>
      </c>
      <c r="C269" s="29">
        <f>D269</f>
        <v>22953907</v>
      </c>
      <c r="D269" s="4">
        <f t="shared" si="9"/>
        <v>22953907</v>
      </c>
    </row>
    <row r="270" spans="1:4" x14ac:dyDescent="0.25">
      <c r="A270" s="8">
        <v>20558734</v>
      </c>
      <c r="B270" s="3">
        <v>43952</v>
      </c>
      <c r="C270" s="29">
        <f t="shared" si="8"/>
        <v>-380217</v>
      </c>
      <c r="D270" s="4">
        <f t="shared" si="9"/>
        <v>20558734</v>
      </c>
    </row>
    <row r="271" spans="1:4" x14ac:dyDescent="0.25">
      <c r="A271" s="8">
        <v>20178517</v>
      </c>
      <c r="B271" s="3">
        <v>43983</v>
      </c>
      <c r="C271" s="29">
        <f t="shared" si="8"/>
        <v>-380217</v>
      </c>
      <c r="D271" s="4">
        <f t="shared" si="9"/>
        <v>20971561</v>
      </c>
    </row>
    <row r="272" spans="1:4" x14ac:dyDescent="0.25">
      <c r="A272" s="8">
        <v>21384388</v>
      </c>
      <c r="B272" s="3">
        <v>44013</v>
      </c>
      <c r="C272" s="29">
        <f t="shared" si="8"/>
        <v>1205871</v>
      </c>
      <c r="D272" s="4">
        <f t="shared" si="9"/>
        <v>20959221.5</v>
      </c>
    </row>
    <row r="273" spans="1:4" x14ac:dyDescent="0.25">
      <c r="A273" s="8">
        <v>21739926</v>
      </c>
      <c r="B273" s="3">
        <v>44044</v>
      </c>
      <c r="C273" s="29">
        <f t="shared" si="8"/>
        <v>355538</v>
      </c>
      <c r="D273" s="4">
        <f t="shared" si="9"/>
        <v>21176775.5</v>
      </c>
    </row>
    <row r="274" spans="1:4" x14ac:dyDescent="0.25">
      <c r="A274" s="8">
        <v>20969163</v>
      </c>
      <c r="B274" s="3">
        <v>44075</v>
      </c>
      <c r="C274" s="29">
        <f t="shared" si="8"/>
        <v>-770763</v>
      </c>
      <c r="D274" s="4">
        <f t="shared" si="9"/>
        <v>21706343</v>
      </c>
    </row>
    <row r="275" spans="1:4" x14ac:dyDescent="0.25">
      <c r="A275" s="8">
        <v>21672760</v>
      </c>
      <c r="B275" s="3">
        <v>44105</v>
      </c>
      <c r="C275" s="29">
        <f t="shared" si="8"/>
        <v>703597</v>
      </c>
      <c r="D275" s="4">
        <f t="shared" si="9"/>
        <v>20926188</v>
      </c>
    </row>
    <row r="276" spans="1:4" x14ac:dyDescent="0.25">
      <c r="A276" s="8">
        <v>20883213</v>
      </c>
      <c r="B276" s="3">
        <v>44136</v>
      </c>
      <c r="C276" s="29">
        <f t="shared" si="8"/>
        <v>-789547</v>
      </c>
      <c r="D276" s="4">
        <f t="shared" si="9"/>
        <v>21654797</v>
      </c>
    </row>
    <row r="277" spans="1:4" x14ac:dyDescent="0.25">
      <c r="A277" s="8">
        <v>21636834</v>
      </c>
      <c r="B277" s="3">
        <v>44166</v>
      </c>
      <c r="C277" s="29">
        <f t="shared" si="8"/>
        <v>753621</v>
      </c>
      <c r="D277" s="4">
        <f t="shared" si="9"/>
        <v>20766111</v>
      </c>
    </row>
    <row r="278" spans="1:4" x14ac:dyDescent="0.25">
      <c r="A278" s="8">
        <v>20649009</v>
      </c>
      <c r="B278" s="3">
        <v>44197</v>
      </c>
      <c r="C278" s="29">
        <f t="shared" si="8"/>
        <v>-987825</v>
      </c>
      <c r="D278" s="4">
        <f t="shared" si="9"/>
        <v>21207553.75</v>
      </c>
    </row>
    <row r="279" spans="1:4" x14ac:dyDescent="0.25">
      <c r="A279" s="8">
        <f>D279</f>
        <v>20778273.5</v>
      </c>
      <c r="B279" s="3">
        <v>44228</v>
      </c>
      <c r="C279" s="29">
        <f>D279</f>
        <v>20778273.5</v>
      </c>
      <c r="D279" s="4">
        <f t="shared" si="9"/>
        <v>20778273.5</v>
      </c>
    </row>
    <row r="280" spans="1:4" x14ac:dyDescent="0.25">
      <c r="A280" s="8">
        <v>20907538</v>
      </c>
      <c r="B280" s="3">
        <v>44256</v>
      </c>
      <c r="C280" s="29">
        <f t="shared" si="8"/>
        <v>129264.5</v>
      </c>
      <c r="D280" s="4">
        <f t="shared" si="9"/>
        <v>20641890.25</v>
      </c>
    </row>
    <row r="281" spans="1:4" x14ac:dyDescent="0.25">
      <c r="A281" s="8">
        <v>20505507</v>
      </c>
      <c r="B281" s="3">
        <v>44287</v>
      </c>
      <c r="C281" s="29">
        <f t="shared" si="8"/>
        <v>-402031</v>
      </c>
      <c r="D281" s="4">
        <f t="shared" si="9"/>
        <v>21115865</v>
      </c>
    </row>
    <row r="282" spans="1:4" x14ac:dyDescent="0.25">
      <c r="A282" s="8">
        <v>21324192</v>
      </c>
      <c r="B282" s="3">
        <v>44317</v>
      </c>
      <c r="C282" s="29">
        <f t="shared" si="8"/>
        <v>818685</v>
      </c>
      <c r="D282" s="4">
        <f t="shared" si="9"/>
        <v>20569953</v>
      </c>
    </row>
    <row r="283" spans="1:4" x14ac:dyDescent="0.25">
      <c r="A283" s="8">
        <v>20634399</v>
      </c>
      <c r="B283" s="3">
        <v>44348</v>
      </c>
      <c r="C283" s="29">
        <f t="shared" si="8"/>
        <v>-689793</v>
      </c>
      <c r="D283" s="4">
        <f t="shared" si="9"/>
        <v>21536533.5</v>
      </c>
    </row>
    <row r="284" spans="1:4" x14ac:dyDescent="0.25">
      <c r="A284" s="8">
        <v>21748875</v>
      </c>
      <c r="B284" s="3">
        <v>44378</v>
      </c>
      <c r="C284" s="29">
        <f t="shared" si="8"/>
        <v>1114476</v>
      </c>
      <c r="D284" s="4">
        <f t="shared" si="9"/>
        <v>21234447</v>
      </c>
    </row>
    <row r="285" spans="1:4" x14ac:dyDescent="0.25">
      <c r="A285" s="8">
        <v>21834495</v>
      </c>
      <c r="B285" s="3">
        <v>44409</v>
      </c>
      <c r="C285" s="29">
        <f t="shared" si="8"/>
        <v>85620</v>
      </c>
      <c r="D285" s="4">
        <f t="shared" si="9"/>
        <v>21521071</v>
      </c>
    </row>
    <row r="286" spans="1:4" x14ac:dyDescent="0.25">
      <c r="A286" s="8">
        <v>21293267</v>
      </c>
      <c r="B286" s="3">
        <v>44440</v>
      </c>
      <c r="C286" s="29">
        <f t="shared" si="8"/>
        <v>-541228</v>
      </c>
      <c r="D286" s="4">
        <f t="shared" si="9"/>
        <v>21964286.5</v>
      </c>
    </row>
    <row r="287" spans="1:4" x14ac:dyDescent="0.25">
      <c r="A287" s="8">
        <v>22094078</v>
      </c>
      <c r="B287" s="3">
        <v>44470</v>
      </c>
      <c r="C287" s="29">
        <f t="shared" si="8"/>
        <v>800811</v>
      </c>
      <c r="D287" s="4">
        <f t="shared" si="9"/>
        <v>21704592.5</v>
      </c>
    </row>
    <row r="288" spans="1:4" x14ac:dyDescent="0.25">
      <c r="A288" s="8">
        <v>22115918</v>
      </c>
      <c r="B288" s="3">
        <v>44501</v>
      </c>
      <c r="C288" s="29">
        <f t="shared" si="8"/>
        <v>21840</v>
      </c>
      <c r="D288" s="4">
        <f t="shared" si="9"/>
        <v>22754207</v>
      </c>
    </row>
    <row r="289" spans="1:4" x14ac:dyDescent="0.25">
      <c r="A289" s="8">
        <v>23414336</v>
      </c>
      <c r="B289" s="3">
        <v>44531</v>
      </c>
      <c r="C289" s="29">
        <f t="shared" si="8"/>
        <v>1298418</v>
      </c>
      <c r="D289" s="4">
        <f t="shared" si="9"/>
        <v>22639722.5</v>
      </c>
    </row>
    <row r="290" spans="1:4" x14ac:dyDescent="0.25">
      <c r="A290" s="8">
        <v>23163527</v>
      </c>
      <c r="B290" s="3">
        <v>44562</v>
      </c>
      <c r="C290" s="29">
        <f t="shared" si="8"/>
        <v>-250809</v>
      </c>
      <c r="D290" s="4">
        <f t="shared" si="9"/>
        <v>22235883.5</v>
      </c>
    </row>
    <row r="291" spans="1:4" x14ac:dyDescent="0.25">
      <c r="A291" s="8">
        <v>21057431</v>
      </c>
      <c r="B291" s="3">
        <v>44593</v>
      </c>
      <c r="C291" s="29">
        <f t="shared" si="8"/>
        <v>-2106096</v>
      </c>
      <c r="D291" s="4">
        <f t="shared" si="9"/>
        <v>23246635</v>
      </c>
    </row>
    <row r="292" spans="1:4" x14ac:dyDescent="0.25">
      <c r="A292" s="8">
        <v>23329743</v>
      </c>
      <c r="B292" s="3">
        <v>44621</v>
      </c>
      <c r="C292" s="29">
        <f t="shared" si="8"/>
        <v>2272312</v>
      </c>
      <c r="D292" s="4">
        <f t="shared" si="9"/>
        <v>21591019.5</v>
      </c>
    </row>
    <row r="293" spans="1:4" x14ac:dyDescent="0.25">
      <c r="A293" s="8">
        <v>22124608</v>
      </c>
      <c r="B293" s="3">
        <v>44652</v>
      </c>
      <c r="C293" s="29">
        <f t="shared" si="8"/>
        <v>-1205135</v>
      </c>
      <c r="D293" s="4">
        <f t="shared" si="9"/>
        <v>23210734.5</v>
      </c>
    </row>
    <row r="294" spans="1:4" x14ac:dyDescent="0.25">
      <c r="A294" s="8">
        <v>23091726</v>
      </c>
      <c r="B294" s="3">
        <v>44682</v>
      </c>
      <c r="C294" s="29">
        <f t="shared" si="8"/>
        <v>967118</v>
      </c>
      <c r="D294" s="4">
        <f t="shared" si="9"/>
        <v>22681987.5</v>
      </c>
    </row>
    <row r="295" spans="1:4" x14ac:dyDescent="0.25">
      <c r="A295" s="8">
        <v>23239367</v>
      </c>
      <c r="B295" s="3">
        <v>44713</v>
      </c>
      <c r="C295" s="29">
        <f t="shared" si="8"/>
        <v>147641</v>
      </c>
      <c r="D295" s="4">
        <f t="shared" si="9"/>
        <v>23533736.5</v>
      </c>
    </row>
    <row r="296" spans="1:4" x14ac:dyDescent="0.25">
      <c r="A296" s="8">
        <v>23975747</v>
      </c>
      <c r="B296" s="3">
        <v>44743</v>
      </c>
      <c r="C296" s="29">
        <f t="shared" si="8"/>
        <v>736380</v>
      </c>
      <c r="D296" s="4">
        <f t="shared" si="9"/>
        <v>23681933</v>
      </c>
    </row>
    <row r="297" spans="1:4" x14ac:dyDescent="0.25">
      <c r="A297" s="4">
        <v>24124499</v>
      </c>
      <c r="B297" s="3">
        <v>44774</v>
      </c>
      <c r="C297" s="29">
        <f t="shared" si="8"/>
        <v>148752</v>
      </c>
      <c r="D297" s="4">
        <f t="shared" si="9"/>
        <v>24002145</v>
      </c>
    </row>
    <row r="298" spans="1:4" x14ac:dyDescent="0.25">
      <c r="A298" s="8">
        <v>24028543</v>
      </c>
      <c r="B298" s="3">
        <v>44805</v>
      </c>
      <c r="C298" s="29">
        <f t="shared" si="8"/>
        <v>-95956</v>
      </c>
      <c r="D298" s="4">
        <f t="shared" si="9"/>
        <v>24169007.5</v>
      </c>
    </row>
    <row r="299" spans="1:4" x14ac:dyDescent="0.25">
      <c r="A299" s="8">
        <v>24213516</v>
      </c>
      <c r="B299" s="3">
        <v>44835</v>
      </c>
      <c r="C299" s="29">
        <f t="shared" si="8"/>
        <v>184973</v>
      </c>
      <c r="D299" s="4">
        <f t="shared" si="9"/>
        <v>24086626</v>
      </c>
    </row>
    <row r="300" spans="1:4" x14ac:dyDescent="0.25">
      <c r="A300" s="8">
        <v>24144709</v>
      </c>
      <c r="B300" s="3">
        <v>44866</v>
      </c>
      <c r="C300" s="29">
        <f t="shared" si="8"/>
        <v>-68807</v>
      </c>
      <c r="D300" s="4">
        <f t="shared" si="9"/>
        <v>24272882</v>
      </c>
    </row>
    <row r="301" spans="1:4" x14ac:dyDescent="0.25">
      <c r="A301" s="8">
        <v>24332248</v>
      </c>
      <c r="B301" s="3">
        <v>44896</v>
      </c>
      <c r="C301" s="29">
        <f t="shared" si="8"/>
        <v>187539</v>
      </c>
      <c r="D301" s="4">
        <f t="shared" si="9"/>
        <v>24359981.5</v>
      </c>
    </row>
    <row r="302" spans="1:4" x14ac:dyDescent="0.25">
      <c r="A302" s="8">
        <v>24575254</v>
      </c>
      <c r="B302" s="3">
        <v>44927</v>
      </c>
      <c r="C302" s="29">
        <f t="shared" si="8"/>
        <v>243006</v>
      </c>
      <c r="D302" s="4">
        <f t="shared" si="9"/>
        <v>23294107</v>
      </c>
    </row>
    <row r="303" spans="1:4" x14ac:dyDescent="0.25">
      <c r="A303" s="8">
        <v>22255966</v>
      </c>
      <c r="B303" s="3">
        <v>44958</v>
      </c>
      <c r="C303" s="29">
        <f t="shared" si="8"/>
        <v>-2319288</v>
      </c>
      <c r="D303" s="4">
        <f t="shared" si="9"/>
        <v>24786754</v>
      </c>
    </row>
    <row r="304" spans="1:4" x14ac:dyDescent="0.25">
      <c r="A304" s="8">
        <v>24998254</v>
      </c>
      <c r="B304" s="3">
        <v>44986</v>
      </c>
      <c r="C304" s="29">
        <f t="shared" si="8"/>
        <v>2742288</v>
      </c>
      <c r="D304" s="4">
        <f t="shared" si="9"/>
        <v>23091344.5</v>
      </c>
    </row>
    <row r="305" spans="1:4" x14ac:dyDescent="0.25">
      <c r="A305" s="8">
        <v>23926723</v>
      </c>
      <c r="B305" s="3">
        <v>45017</v>
      </c>
      <c r="C305" s="29">
        <f t="shared" si="8"/>
        <v>-1071531</v>
      </c>
      <c r="D305" s="4">
        <f t="shared" si="9"/>
        <v>25343583.5</v>
      </c>
    </row>
    <row r="306" spans="1:4" x14ac:dyDescent="0.25">
      <c r="A306" s="8">
        <v>25688913</v>
      </c>
      <c r="B306" s="3">
        <v>45047</v>
      </c>
      <c r="C306" s="29">
        <f t="shared" si="8"/>
        <v>1762190</v>
      </c>
      <c r="D306" s="4">
        <f t="shared" si="9"/>
        <v>24684500.75</v>
      </c>
    </row>
    <row r="307" spans="1:4" x14ac:dyDescent="0.25">
      <c r="A307" s="8">
        <f>D307</f>
        <v>25442278.5</v>
      </c>
      <c r="B307" s="3">
        <v>45078</v>
      </c>
      <c r="C307" s="29">
        <f>D307</f>
        <v>25442278.5</v>
      </c>
      <c r="D307" s="4">
        <f t="shared" si="9"/>
        <v>25442278.5</v>
      </c>
    </row>
    <row r="308" spans="1:4" x14ac:dyDescent="0.25">
      <c r="A308" s="8">
        <v>25195644</v>
      </c>
      <c r="B308" s="3">
        <v>45108</v>
      </c>
      <c r="C308" s="29">
        <f t="shared" si="8"/>
        <v>-246634.5</v>
      </c>
      <c r="D308" s="4">
        <f t="shared" si="9"/>
        <v>25546063.75</v>
      </c>
    </row>
    <row r="309" spans="1:4" x14ac:dyDescent="0.25">
      <c r="A309" s="8">
        <v>25649849</v>
      </c>
      <c r="B309" s="3">
        <v>45139</v>
      </c>
      <c r="C309" s="29">
        <f t="shared" si="8"/>
        <v>454205</v>
      </c>
      <c r="D309" s="4">
        <f t="shared" si="9"/>
        <v>25088959</v>
      </c>
    </row>
    <row r="310" spans="1:4" x14ac:dyDescent="0.25">
      <c r="A310" s="8">
        <v>24982274</v>
      </c>
      <c r="B310" s="3">
        <v>45170</v>
      </c>
      <c r="C310" s="29">
        <f t="shared" si="8"/>
        <v>-667575</v>
      </c>
      <c r="D310" s="4">
        <f t="shared" si="9"/>
        <v>26005757.5</v>
      </c>
    </row>
    <row r="311" spans="1:4" x14ac:dyDescent="0.25">
      <c r="A311" s="8">
        <v>26361666</v>
      </c>
      <c r="B311" s="3">
        <v>45200</v>
      </c>
      <c r="C311" s="29">
        <f t="shared" si="8"/>
        <v>1379392</v>
      </c>
      <c r="D311" s="4">
        <f t="shared" si="9"/>
        <v>25421976</v>
      </c>
    </row>
    <row r="312" spans="1:4" x14ac:dyDescent="0.25">
      <c r="A312" s="8">
        <v>25861678</v>
      </c>
      <c r="B312" s="3">
        <v>45231</v>
      </c>
      <c r="C312" s="29">
        <f t="shared" si="8"/>
        <v>-499988</v>
      </c>
      <c r="D312" s="4">
        <f t="shared" si="9"/>
        <v>26445922</v>
      </c>
    </row>
    <row r="313" spans="1:4" x14ac:dyDescent="0.25">
      <c r="A313" s="8">
        <v>26530178</v>
      </c>
      <c r="B313" s="3">
        <v>45261</v>
      </c>
      <c r="C313" s="29">
        <f t="shared" si="8"/>
        <v>668500</v>
      </c>
      <c r="D313" s="4">
        <f t="shared" si="9"/>
        <v>25649002</v>
      </c>
    </row>
    <row r="314" spans="1:4" x14ac:dyDescent="0.25">
      <c r="A314" s="8">
        <v>25436326</v>
      </c>
      <c r="B314" s="3">
        <v>45292</v>
      </c>
      <c r="C314" s="29">
        <f t="shared" si="8"/>
        <v>-1093852</v>
      </c>
      <c r="D314" s="4">
        <f t="shared" si="9"/>
        <v>25708089.5</v>
      </c>
    </row>
    <row r="315" spans="1:4" x14ac:dyDescent="0.25">
      <c r="A315" s="8">
        <v>24886001</v>
      </c>
      <c r="B315" s="3">
        <v>45323</v>
      </c>
      <c r="C315" s="29">
        <f t="shared" si="8"/>
        <v>-550325</v>
      </c>
      <c r="D315" s="4">
        <f t="shared" si="9"/>
        <v>26153936</v>
      </c>
    </row>
    <row r="316" spans="1:4" x14ac:dyDescent="0.25">
      <c r="A316" s="8">
        <v>26871546</v>
      </c>
      <c r="B316" s="3">
        <v>45352</v>
      </c>
      <c r="C316" s="29">
        <f t="shared" si="8"/>
        <v>1985545</v>
      </c>
      <c r="D316" s="4">
        <f t="shared" si="9"/>
        <v>24915434</v>
      </c>
    </row>
    <row r="317" spans="1:4" x14ac:dyDescent="0.25">
      <c r="A317" s="8">
        <v>24944867</v>
      </c>
      <c r="B317" s="3">
        <v>45383</v>
      </c>
      <c r="C317" s="29">
        <f t="shared" si="8"/>
        <v>-1926679</v>
      </c>
      <c r="D317" s="4">
        <f t="shared" si="9"/>
        <v>26349490.5</v>
      </c>
    </row>
    <row r="318" spans="1:4" x14ac:dyDescent="0.25">
      <c r="A318" s="8">
        <v>25827435</v>
      </c>
      <c r="B318" s="3">
        <v>45413</v>
      </c>
      <c r="C318" s="29">
        <f t="shared" si="8"/>
        <v>882568</v>
      </c>
      <c r="D318" s="4">
        <f t="shared" si="9"/>
        <v>25414548.5</v>
      </c>
    </row>
    <row r="319" spans="1:4" x14ac:dyDescent="0.25">
      <c r="A319" s="8">
        <f>D319</f>
        <v>25884230</v>
      </c>
      <c r="B319" s="3">
        <v>45444</v>
      </c>
      <c r="C319" s="29">
        <f>D319</f>
        <v>25884230</v>
      </c>
      <c r="D319" s="4">
        <f t="shared" si="9"/>
        <v>25884230</v>
      </c>
    </row>
    <row r="320" spans="1:4" x14ac:dyDescent="0.25">
      <c r="A320" s="8">
        <v>25941025</v>
      </c>
      <c r="B320" s="3">
        <v>45474</v>
      </c>
      <c r="C320" s="29">
        <f t="shared" si="8"/>
        <v>56795</v>
      </c>
      <c r="D320" s="4">
        <f t="shared" si="9"/>
        <v>26417883.5</v>
      </c>
    </row>
    <row r="321" spans="1:4" x14ac:dyDescent="0.25">
      <c r="A321" s="8">
        <v>26951537</v>
      </c>
      <c r="B321" s="3">
        <v>45505</v>
      </c>
      <c r="C321" s="29">
        <f t="shared" si="8"/>
        <v>1010512</v>
      </c>
      <c r="D321" s="4">
        <f t="shared" si="9"/>
        <v>26140809.5</v>
      </c>
    </row>
    <row r="322" spans="1:4" x14ac:dyDescent="0.25">
      <c r="A322" s="8">
        <v>26340594</v>
      </c>
      <c r="B322" s="3">
        <v>45536</v>
      </c>
      <c r="C322" s="29">
        <f t="shared" si="8"/>
        <v>-610943</v>
      </c>
      <c r="D322" s="4">
        <f t="shared" si="9"/>
        <v>27304956</v>
      </c>
    </row>
    <row r="323" spans="1:4" x14ac:dyDescent="0.25">
      <c r="A323" s="8">
        <v>27658375</v>
      </c>
      <c r="B323" s="3">
        <v>45566</v>
      </c>
      <c r="C323" s="29">
        <f t="shared" si="8"/>
        <v>1317781</v>
      </c>
      <c r="D323" s="4">
        <f t="shared" si="9"/>
        <v>26681010</v>
      </c>
    </row>
    <row r="324" spans="1:4" x14ac:dyDescent="0.25">
      <c r="A324" s="8">
        <v>27021426</v>
      </c>
      <c r="B324" s="3">
        <v>45597</v>
      </c>
      <c r="C324" s="29">
        <f t="shared" ref="C324:C344" si="10">A324-A323</f>
        <v>-636949</v>
      </c>
      <c r="D324" s="4">
        <f t="shared" ref="D324:D344" si="11">(A323+A325)/2</f>
        <v>27562162.5</v>
      </c>
    </row>
    <row r="325" spans="1:4" x14ac:dyDescent="0.25">
      <c r="A325" s="8">
        <v>27465950</v>
      </c>
      <c r="B325" s="3">
        <v>45627</v>
      </c>
      <c r="C325" s="29">
        <f t="shared" si="10"/>
        <v>444524</v>
      </c>
      <c r="D325" s="4">
        <f t="shared" si="11"/>
        <v>27167835</v>
      </c>
    </row>
    <row r="326" spans="1:4" x14ac:dyDescent="0.25">
      <c r="A326" s="8">
        <v>27314244</v>
      </c>
      <c r="B326" s="3">
        <v>45658</v>
      </c>
      <c r="C326" s="29">
        <f t="shared" si="10"/>
        <v>-151706</v>
      </c>
      <c r="D326" s="4">
        <f t="shared" si="11"/>
        <v>27086483.75</v>
      </c>
    </row>
    <row r="327" spans="1:4" x14ac:dyDescent="0.25">
      <c r="A327" s="8">
        <f>D327</f>
        <v>26707017.5</v>
      </c>
      <c r="B327" s="3">
        <v>45689</v>
      </c>
      <c r="C327" s="29">
        <f>D327</f>
        <v>26707017.5</v>
      </c>
      <c r="D327" s="4">
        <f t="shared" si="11"/>
        <v>26707017.5</v>
      </c>
    </row>
    <row r="328" spans="1:4" x14ac:dyDescent="0.25">
      <c r="A328" s="8">
        <v>26099791</v>
      </c>
      <c r="B328" s="3">
        <v>45717</v>
      </c>
      <c r="C328" s="29">
        <f t="shared" si="10"/>
        <v>-607226.5</v>
      </c>
      <c r="D328" s="4">
        <f t="shared" si="11"/>
        <v>26629864.75</v>
      </c>
    </row>
    <row r="329" spans="1:4" x14ac:dyDescent="0.25">
      <c r="A329" s="8">
        <v>26552712</v>
      </c>
      <c r="B329" s="3">
        <v>45748</v>
      </c>
      <c r="C329" s="29">
        <f t="shared" si="10"/>
        <v>452921</v>
      </c>
      <c r="D329" s="4">
        <f t="shared" si="11"/>
        <v>26792695.5</v>
      </c>
    </row>
    <row r="330" spans="1:4" x14ac:dyDescent="0.25">
      <c r="A330" s="8">
        <v>27485600</v>
      </c>
      <c r="B330" s="3">
        <v>45778</v>
      </c>
      <c r="C330" s="29">
        <f t="shared" si="10"/>
        <v>932888</v>
      </c>
      <c r="D330" s="4">
        <f t="shared" si="11"/>
        <v>26416993.5</v>
      </c>
    </row>
    <row r="331" spans="1:4" x14ac:dyDescent="0.25">
      <c r="A331" s="8">
        <v>26281275</v>
      </c>
      <c r="B331" s="3">
        <v>45809</v>
      </c>
      <c r="C331" s="29">
        <f t="shared" si="10"/>
        <v>-1204325</v>
      </c>
      <c r="D331" s="4">
        <f t="shared" si="11"/>
        <v>27332785</v>
      </c>
    </row>
    <row r="332" spans="1:4" x14ac:dyDescent="0.25">
      <c r="A332" s="8">
        <v>27179970</v>
      </c>
      <c r="B332" s="3">
        <v>45839</v>
      </c>
      <c r="C332" s="29">
        <f t="shared" si="10"/>
        <v>898695</v>
      </c>
      <c r="D332" s="4">
        <f t="shared" si="11"/>
        <v>26710438</v>
      </c>
    </row>
    <row r="333" spans="1:4" x14ac:dyDescent="0.25">
      <c r="A333" s="8">
        <v>27139601</v>
      </c>
      <c r="B333" s="3">
        <v>45870</v>
      </c>
      <c r="C333" s="29">
        <f t="shared" si="10"/>
        <v>-40369</v>
      </c>
      <c r="D333" s="4">
        <f t="shared" si="11"/>
        <v>26943559.5</v>
      </c>
    </row>
    <row r="334" spans="1:4" x14ac:dyDescent="0.25">
      <c r="A334" s="8">
        <v>26707149</v>
      </c>
      <c r="B334" s="3">
        <v>45901</v>
      </c>
      <c r="C334" s="29">
        <f t="shared" si="10"/>
        <v>-432452</v>
      </c>
      <c r="D334" s="4">
        <f t="shared" si="11"/>
        <v>27351030</v>
      </c>
    </row>
    <row r="335" spans="1:4" x14ac:dyDescent="0.25">
      <c r="A335" s="8">
        <v>27562459</v>
      </c>
      <c r="B335" s="3">
        <v>45931</v>
      </c>
      <c r="C335" s="29">
        <f t="shared" si="10"/>
        <v>855310</v>
      </c>
      <c r="D335" s="4">
        <f t="shared" si="11"/>
        <v>26605648</v>
      </c>
    </row>
    <row r="336" spans="1:4" x14ac:dyDescent="0.25">
      <c r="A336" s="8">
        <v>26504147</v>
      </c>
      <c r="B336" s="3">
        <v>45962</v>
      </c>
      <c r="C336" s="29">
        <f t="shared" si="10"/>
        <v>-1058312</v>
      </c>
      <c r="D336" s="4">
        <f t="shared" si="11"/>
        <v>27397004.5</v>
      </c>
    </row>
    <row r="337" spans="1:4" x14ac:dyDescent="0.25">
      <c r="A337" s="8">
        <v>27231550</v>
      </c>
      <c r="B337" s="3">
        <v>45992</v>
      </c>
      <c r="C337" s="29">
        <f t="shared" si="10"/>
        <v>727403</v>
      </c>
      <c r="D337" s="4">
        <f t="shared" si="11"/>
        <v>26362911.5</v>
      </c>
    </row>
    <row r="338" spans="1:4" x14ac:dyDescent="0.25">
      <c r="A338" s="8">
        <v>26221676</v>
      </c>
      <c r="B338" s="3">
        <v>46023</v>
      </c>
      <c r="C338" s="29">
        <f t="shared" si="10"/>
        <v>-1009874</v>
      </c>
      <c r="D338" s="4">
        <f t="shared" si="11"/>
        <v>25704333</v>
      </c>
    </row>
    <row r="339" spans="1:4" x14ac:dyDescent="0.25">
      <c r="A339" s="8">
        <v>24177116</v>
      </c>
      <c r="B339" s="3">
        <v>46054</v>
      </c>
      <c r="C339" s="29">
        <f t="shared" si="10"/>
        <v>-2044560</v>
      </c>
      <c r="D339" s="4">
        <f t="shared" si="11"/>
        <v>26695850</v>
      </c>
    </row>
    <row r="340" spans="1:4" x14ac:dyDescent="0.25">
      <c r="A340" s="8">
        <v>27170024</v>
      </c>
      <c r="B340" s="3">
        <v>46082</v>
      </c>
      <c r="C340" s="29">
        <f t="shared" si="10"/>
        <v>2992908</v>
      </c>
      <c r="D340" s="4">
        <f t="shared" si="11"/>
        <v>25268993.5</v>
      </c>
    </row>
    <row r="341" spans="1:4" x14ac:dyDescent="0.25">
      <c r="A341" s="8">
        <v>26360871</v>
      </c>
      <c r="B341" s="3">
        <v>46113</v>
      </c>
      <c r="C341" s="29">
        <f t="shared" si="10"/>
        <v>-809153</v>
      </c>
      <c r="D341" s="4">
        <f t="shared" si="11"/>
        <v>27239212.5</v>
      </c>
    </row>
    <row r="342" spans="1:4" x14ac:dyDescent="0.25">
      <c r="A342" s="8">
        <v>27308401</v>
      </c>
      <c r="B342" s="3">
        <v>46143</v>
      </c>
      <c r="C342" s="29">
        <f t="shared" si="10"/>
        <v>947530</v>
      </c>
      <c r="D342" s="4">
        <f t="shared" si="11"/>
        <v>26371658</v>
      </c>
    </row>
    <row r="343" spans="1:4" x14ac:dyDescent="0.25">
      <c r="A343" s="8">
        <v>26382445</v>
      </c>
      <c r="B343" s="3">
        <v>46174</v>
      </c>
      <c r="C343" s="29">
        <f t="shared" si="10"/>
        <v>-925956</v>
      </c>
      <c r="D343" s="4">
        <f t="shared" si="11"/>
        <v>27297946</v>
      </c>
    </row>
    <row r="344" spans="1:4" x14ac:dyDescent="0.25">
      <c r="A344" s="8">
        <v>27287491</v>
      </c>
      <c r="B344" s="3">
        <v>46204</v>
      </c>
      <c r="C344" s="29">
        <f t="shared" si="10"/>
        <v>905046</v>
      </c>
      <c r="D344" s="4">
        <f t="shared" si="11"/>
        <v>13191222.5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EB608DDDCA242B79E4FE632C1BEF4" ma:contentTypeVersion="15" ma:contentTypeDescription="Create a new document." ma:contentTypeScope="" ma:versionID="7ad1522714e0a338b466e0c71ecdf4a8">
  <xsd:schema xmlns:xsd="http://www.w3.org/2001/XMLSchema" xmlns:xs="http://www.w3.org/2001/XMLSchema" xmlns:p="http://schemas.microsoft.com/office/2006/metadata/properties" xmlns:ns2="3d892915-ebce-4bfc-a614-64709b81479e" xmlns:ns3="1bd1721e-2220-476a-8a0c-275704810b64" targetNamespace="http://schemas.microsoft.com/office/2006/metadata/properties" ma:root="true" ma:fieldsID="6b6bcd4cd3ed353155b3b25dfb8e22b5" ns2:_="" ns3:_="">
    <xsd:import namespace="3d892915-ebce-4bfc-a614-64709b81479e"/>
    <xsd:import namespace="1bd1721e-2220-476a-8a0c-275704810b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IntacctPROJNo_x002e_" minOccurs="0"/>
                <xsd:element ref="ns2:AFEDat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92915-ebce-4bfc-a614-64709b8147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81f77f2-7e59-4246-95aa-4f882d2f8a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IntacctPROJNo_x002e_" ma:index="19" nillable="true" ma:displayName="Intacct PROJ No." ma:format="Dropdown" ma:indexed="true" ma:internalName="IntacctPROJNo_x002e_">
      <xsd:simpleType>
        <xsd:restriction base="dms:Text">
          <xsd:maxLength value="255"/>
        </xsd:restriction>
      </xsd:simpleType>
    </xsd:element>
    <xsd:element name="AFEDate" ma:index="20" nillable="true" ma:displayName="AFE Date" ma:format="DateOnly" ma:indexed="true" ma:internalName="AFEDate">
      <xsd:simpleType>
        <xsd:restriction base="dms:DateTim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d1721e-2220-476a-8a0c-275704810b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762bfd9-7d94-4421-91fb-d94489aa2a59}" ma:internalName="TaxCatchAll" ma:showField="CatchAllData" ma:web="1bd1721e-2220-476a-8a0c-275704810b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bd1721e-2220-476a-8a0c-275704810b64">
      <UserInfo>
        <DisplayName>Carter Matthews</DisplayName>
        <AccountId>16</AccountId>
        <AccountType/>
      </UserInfo>
    </SharedWithUsers>
    <lcf76f155ced4ddcb4097134ff3c332f xmlns="3d892915-ebce-4bfc-a614-64709b81479e">
      <Terms xmlns="http://schemas.microsoft.com/office/infopath/2007/PartnerControls"/>
    </lcf76f155ced4ddcb4097134ff3c332f>
    <TaxCatchAll xmlns="1bd1721e-2220-476a-8a0c-275704810b64" xsi:nil="true"/>
    <AFEDate xmlns="3d892915-ebce-4bfc-a614-64709b81479e" xsi:nil="true"/>
    <IntacctPROJNo_x002e_ xmlns="3d892915-ebce-4bfc-a614-64709b81479e" xsi:nil="true"/>
  </documentManagement>
</p:properties>
</file>

<file path=customXml/itemProps1.xml><?xml version="1.0" encoding="utf-8"?>
<ds:datastoreItem xmlns:ds="http://schemas.openxmlformats.org/officeDocument/2006/customXml" ds:itemID="{53071905-3A2E-49BD-A006-8C150C715F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7BD485-21B3-43EC-86FF-C082FA25D6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892915-ebce-4bfc-a614-64709b81479e"/>
    <ds:schemaRef ds:uri="1bd1721e-2220-476a-8a0c-275704810b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15176D-9C18-4E3E-9223-CD0FCCE499CD}">
  <ds:schemaRefs>
    <ds:schemaRef ds:uri="http://purl.org/dc/dcmitype/"/>
    <ds:schemaRef ds:uri="3d892915-ebce-4bfc-a614-64709b81479e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bd1721e-2220-476a-8a0c-275704810b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</vt:vector>
  </HeadingPairs>
  <TitlesOfParts>
    <vt:vector size="5" baseType="lpstr">
      <vt:lpstr>Input Data</vt:lpstr>
      <vt:lpstr>Sheet2</vt:lpstr>
      <vt:lpstr>Oil WOR vs Price</vt:lpstr>
      <vt:lpstr>Oil Price vs Disposal</vt:lpstr>
      <vt:lpstr>Shortfall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Mason Welch</dc:creator>
  <cp:keywords/>
  <dc:description/>
  <cp:lastModifiedBy>Logan Frideley</cp:lastModifiedBy>
  <cp:revision/>
  <cp:lastPrinted>2025-12-10T18:27:32Z</cp:lastPrinted>
  <dcterms:created xsi:type="dcterms:W3CDTF">2021-09-27T13:59:56Z</dcterms:created>
  <dcterms:modified xsi:type="dcterms:W3CDTF">2026-08-27T19:25:59Z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0x010100CE8EB608DDDCA242B79E4FE632C1BEF4</vt:lpwstr>
  </property>
  <property fmtid="{D5CDD505-2E9C-101B-9397-08002B2CF9AE}" pid="3" name="MediaServiceImageTags">
    <vt:lpwstr/>
  </property>
</Properties>
</file>